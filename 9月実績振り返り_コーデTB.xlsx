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月サマリー" sheetId="1" state="visible" r:id="rId3"/>
    <sheet name="Sheet" sheetId="2" state="visible" r:id="rId4"/>
    <sheet name="9月 実績明細" sheetId="3" state="visible" r:id="rId5"/>
    <sheet name="月別推移" sheetId="4" state="visible" r:id="rId6"/>
    <sheet name="上期 実績明細" sheetId="5" state="visible" r:id="rId7"/>
    <sheet name="グラフ用データ" sheetId="6" state="visible" r:id="rId8"/>
    <sheet name="算出方法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<sst xmlns="http://schemas.openxmlformats.org/spreadsheetml/2006/main" count="971" uniqueCount="338">
  <si>
    <r>
      <rPr>
        <b val="true"/>
        <sz val="16"/>
        <color rgb="FF2C5F2D"/>
        <rFont val="Meiryo"/>
        <family val="0"/>
        <charset val="1"/>
      </rPr>
      <t xml:space="preserve">9</t>
    </r>
    <r>
      <rPr>
        <b val="true"/>
        <sz val="16"/>
        <color rgb="FF2C5F2D"/>
        <rFont val="WenQuanYi Zen Hei"/>
        <family val="2"/>
      </rPr>
      <t xml:space="preserve">月 実績振り返り｜コーデ</t>
    </r>
    <r>
      <rPr>
        <b val="true"/>
        <sz val="16"/>
        <color rgb="FF2C5F2D"/>
        <rFont val="Meiryo"/>
        <family val="0"/>
        <charset val="1"/>
      </rPr>
      <t xml:space="preserve">+TREEBATON </t>
    </r>
    <r>
      <rPr>
        <b val="true"/>
        <sz val="16"/>
        <color rgb="FF2C5F2D"/>
        <rFont val="WenQuanYi Zen Hei"/>
        <family val="2"/>
      </rPr>
      <t xml:space="preserve">＋ 建築 ＋ </t>
    </r>
    <r>
      <rPr>
        <b val="true"/>
        <sz val="16"/>
        <color rgb="FF2C5F2D"/>
        <rFont val="Meiryo"/>
        <family val="0"/>
        <charset val="1"/>
      </rPr>
      <t xml:space="preserve">OEM</t>
    </r>
  </si>
  <si>
    <r>
      <rPr>
        <sz val="9"/>
        <color rgb="FF767676"/>
        <rFont val="WenQuanYi Zen Hei"/>
        <family val="2"/>
      </rPr>
      <t xml:space="preserve">★コーデ</t>
    </r>
    <r>
      <rPr>
        <sz val="9"/>
        <color rgb="FF767676"/>
        <rFont val="Meiryo"/>
        <family val="0"/>
        <charset val="1"/>
      </rPr>
      <t xml:space="preserve">TB_</t>
    </r>
    <r>
      <rPr>
        <sz val="9"/>
        <color rgb="FF767676"/>
        <rFont val="WenQuanYi Zen Hei"/>
        <family val="2"/>
      </rPr>
      <t xml:space="preserve">実績</t>
    </r>
    <r>
      <rPr>
        <sz val="9"/>
        <color rgb="FF767676"/>
        <rFont val="Meiryo"/>
        <family val="0"/>
        <charset val="1"/>
      </rPr>
      <t xml:space="preserve">(4</t>
    </r>
    <r>
      <rPr>
        <sz val="9"/>
        <color rgb="FF767676"/>
        <rFont val="WenQuanYi Zen Hei"/>
        <family val="2"/>
      </rPr>
      <t xml:space="preserve">月</t>
    </r>
    <r>
      <rPr>
        <sz val="9"/>
        <color rgb="FF767676"/>
        <rFont val="Meiryo"/>
        <family val="0"/>
        <charset val="1"/>
      </rPr>
      <t xml:space="preserve">-</t>
    </r>
    <r>
      <rPr>
        <sz val="9"/>
        <color rgb="FF767676"/>
        <rFont val="WenQuanYi Zen Hei"/>
        <family val="2"/>
      </rPr>
      <t xml:space="preserve">前月</t>
    </r>
    <r>
      <rPr>
        <sz val="9"/>
        <color rgb="FF767676"/>
        <rFont val="Meiryo"/>
        <family val="0"/>
        <charset val="1"/>
      </rPr>
      <t xml:space="preserve">)_26</t>
    </r>
    <r>
      <rPr>
        <sz val="9"/>
        <color rgb="FF767676"/>
        <rFont val="WenQuanYi Zen Hei"/>
        <family val="2"/>
      </rPr>
      <t xml:space="preserve">年度（</t>
    </r>
    <r>
      <rPr>
        <sz val="9"/>
        <color rgb="FF767676"/>
        <rFont val="Meiryo"/>
        <family val="0"/>
        <charset val="1"/>
      </rPr>
      <t xml:space="preserve">2026-10-06 19:38 </t>
    </r>
    <r>
      <rPr>
        <sz val="9"/>
        <color rgb="FF767676"/>
        <rFont val="WenQuanYi Zen Hei"/>
        <family val="2"/>
      </rPr>
      <t xml:space="preserve">出力・</t>
    </r>
    <r>
      <rPr>
        <sz val="9"/>
        <color rgb="FF767676"/>
        <rFont val="Meiryo"/>
        <family val="0"/>
        <charset val="1"/>
      </rPr>
      <t xml:space="preserve">117</t>
    </r>
    <r>
      <rPr>
        <sz val="9"/>
        <color rgb="FF767676"/>
        <rFont val="WenQuanYi Zen Hei"/>
        <family val="2"/>
      </rPr>
      <t xml:space="preserve">件）　／　単位：千円　／　完了予定日ベース・フェーズ</t>
    </r>
    <r>
      <rPr>
        <sz val="9"/>
        <color rgb="FF767676"/>
        <rFont val="Meiryo"/>
        <family val="0"/>
        <charset val="1"/>
      </rPr>
      <t xml:space="preserve">07.</t>
    </r>
    <r>
      <rPr>
        <sz val="9"/>
        <color rgb="FF767676"/>
        <rFont val="WenQuanYi Zen Hei"/>
        <family val="2"/>
      </rPr>
      <t xml:space="preserve">成約・失注除外　／　</t>
    </r>
    <r>
      <rPr>
        <sz val="9"/>
        <color rgb="FF767676"/>
        <rFont val="Meiryo"/>
        <family val="0"/>
        <charset val="1"/>
      </rPr>
      <t xml:space="preserve">8</t>
    </r>
    <r>
      <rPr>
        <sz val="9"/>
        <color rgb="FF767676"/>
        <rFont val="WenQuanYi Zen Hei"/>
        <family val="2"/>
      </rPr>
      <t xml:space="preserve">月末 → </t>
    </r>
    <r>
      <rPr>
        <sz val="9"/>
        <color rgb="FF767676"/>
        <rFont val="Meiryo"/>
        <family val="0"/>
        <charset val="1"/>
      </rPr>
      <t xml:space="preserve">9</t>
    </r>
    <r>
      <rPr>
        <sz val="9"/>
        <color rgb="FF767676"/>
        <rFont val="WenQuanYi Zen Hei"/>
        <family val="2"/>
      </rPr>
      <t xml:space="preserve">月末 の差分＝</t>
    </r>
    <r>
      <rPr>
        <sz val="9"/>
        <color rgb="FF767676"/>
        <rFont val="Meiryo"/>
        <family val="0"/>
        <charset val="1"/>
      </rPr>
      <t xml:space="preserve">9</t>
    </r>
    <r>
      <rPr>
        <sz val="9"/>
        <color rgb="FF767676"/>
        <rFont val="WenQuanYi Zen Hei"/>
        <family val="2"/>
      </rPr>
      <t xml:space="preserve">月の実績</t>
    </r>
  </si>
  <si>
    <r>
      <rPr>
        <b val="true"/>
        <sz val="12.5"/>
        <color rgb="FF2C5F2D"/>
        <rFont val="WenQuanYi Zen Hei"/>
        <family val="2"/>
      </rPr>
      <t xml:space="preserve">①　実績サマリー（</t>
    </r>
    <r>
      <rPr>
        <b val="true"/>
        <sz val="12.5"/>
        <color rgb="FF2C5F2D"/>
        <rFont val="Meiryo"/>
        <family val="0"/>
        <charset val="1"/>
      </rPr>
      <t xml:space="preserve">8</t>
    </r>
    <r>
      <rPr>
        <b val="true"/>
        <sz val="12.5"/>
        <color rgb="FF2C5F2D"/>
        <rFont val="WenQuanYi Zen Hei"/>
        <family val="2"/>
      </rPr>
      <t xml:space="preserve">月末 → </t>
    </r>
    <r>
      <rPr>
        <b val="true"/>
        <sz val="12.5"/>
        <color rgb="FF2C5F2D"/>
        <rFont val="Meiryo"/>
        <family val="0"/>
        <charset val="1"/>
      </rPr>
      <t xml:space="preserve">9</t>
    </r>
    <r>
      <rPr>
        <b val="true"/>
        <sz val="12.5"/>
        <color rgb="FF2C5F2D"/>
        <rFont val="WenQuanYi Zen Hei"/>
        <family val="2"/>
      </rPr>
      <t xml:space="preserve">月末）</t>
    </r>
  </si>
  <si>
    <r>
      <rPr>
        <sz val="9"/>
        <color rgb="FF767676"/>
        <rFont val="WenQuanYi Zen Hei"/>
        <family val="2"/>
      </rPr>
      <t xml:space="preserve">累計実績の差が</t>
    </r>
    <r>
      <rPr>
        <sz val="9"/>
        <color rgb="FF767676"/>
        <rFont val="Meiryo"/>
        <family val="0"/>
        <charset val="1"/>
      </rPr>
      <t xml:space="preserve">9</t>
    </r>
    <r>
      <rPr>
        <sz val="9"/>
        <color rgb="FF767676"/>
        <rFont val="WenQuanYi Zen Hei"/>
        <family val="2"/>
      </rPr>
      <t xml:space="preserve">月の成果です。</t>
    </r>
  </si>
  <si>
    <r>
      <rPr>
        <b val="true"/>
        <sz val="9.5"/>
        <color rgb="FF767676"/>
        <rFont val="Meiryo"/>
        <family val="0"/>
        <charset val="1"/>
      </rPr>
      <t xml:space="preserve">8</t>
    </r>
    <r>
      <rPr>
        <b val="true"/>
        <sz val="9.5"/>
        <color rgb="FF767676"/>
        <rFont val="WenQuanYi Zen Hei"/>
        <family val="2"/>
      </rPr>
      <t xml:space="preserve">月末 累計</t>
    </r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</si>
  <si>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月末 累計</t>
    </r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</si>
  <si>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月の実績</t>
    </r>
  </si>
  <si>
    <t xml:space="preserve">累計の伸び率</t>
  </si>
  <si>
    <r>
      <rPr>
        <sz val="8.5"/>
        <color rgb="FF767676"/>
        <rFont val="Meiryo"/>
        <family val="0"/>
        <charset val="1"/>
      </rPr>
      <t xml:space="preserve">4</t>
    </r>
    <r>
      <rPr>
        <sz val="8.5"/>
        <color rgb="FF767676"/>
        <rFont val="WenQuanYi Zen Hei"/>
        <family val="2"/>
      </rPr>
      <t xml:space="preserve">月〜</t>
    </r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 </t>
    </r>
    <r>
      <rPr>
        <sz val="8.5"/>
        <color rgb="FF767676"/>
        <rFont val="Meiryo"/>
        <family val="0"/>
        <charset val="1"/>
      </rPr>
      <t xml:space="preserve">98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</si>
  <si>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Meiryo"/>
        <family val="0"/>
        <charset val="1"/>
      </rPr>
      <t xml:space="preserve">4</t>
    </r>
    <r>
      <rPr>
        <sz val="8.5"/>
        <color rgb="FF767676"/>
        <rFont val="WenQuanYi Zen Hei"/>
        <family val="2"/>
      </rPr>
      <t xml:space="preserve">月〜</t>
    </r>
    <r>
      <rPr>
        <sz val="8.5"/>
        <color rgb="FF767676"/>
        <rFont val="Meiryo"/>
        <family val="0"/>
        <charset val="1"/>
      </rPr>
      <t xml:space="preserve">9</t>
    </r>
    <r>
      <rPr>
        <sz val="8.5"/>
        <color rgb="FF767676"/>
        <rFont val="WenQuanYi Zen Hei"/>
        <family val="2"/>
      </rPr>
      <t xml:space="preserve">月 </t>
    </r>
    <r>
      <rPr>
        <sz val="8.5"/>
        <color rgb="FF767676"/>
        <rFont val="Meiryo"/>
        <family val="0"/>
        <charset val="1"/>
      </rPr>
      <t xml:space="preserve">117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</si>
  <si>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月末からの増加分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</si>
  <si>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月末累計に対して</t>
    </r>
  </si>
  <si>
    <r>
      <rPr>
        <b val="true"/>
        <sz val="10.5"/>
        <color rgb="FF1A1A1A"/>
        <rFont val="Meiryo"/>
        <family val="0"/>
        <charset val="1"/>
      </rPr>
      <t xml:space="preserve">9</t>
    </r>
    <r>
      <rPr>
        <b val="true"/>
        <sz val="10.5"/>
        <color rgb="FF1A1A1A"/>
        <rFont val="WenQuanYi Zen Hei"/>
        <family val="2"/>
      </rPr>
      <t xml:space="preserve">月の中身</t>
    </r>
  </si>
  <si>
    <t xml:space="preserve">件数</t>
  </si>
  <si>
    <t xml:space="preserve">平均単価</t>
  </si>
  <si>
    <t xml:space="preserve">粗利</t>
  </si>
  <si>
    <t xml:space="preserve">粗利率</t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</si>
  <si>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月は</t>
    </r>
    <r>
      <rPr>
        <sz val="8.5"/>
        <color rgb="FF767676"/>
        <rFont val="Meiryo"/>
        <family val="0"/>
        <charset val="1"/>
      </rPr>
      <t xml:space="preserve">13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</si>
  <si>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月は</t>
    </r>
    <r>
      <rPr>
        <sz val="8.5"/>
        <color rgb="FF767676"/>
        <rFont val="Meiryo"/>
        <family val="0"/>
        <charset val="1"/>
      </rPr>
      <t xml:space="preserve">328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</si>
  <si>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月は</t>
    </r>
    <r>
      <rPr>
        <sz val="8.5"/>
        <color rgb="FF767676"/>
        <rFont val="Meiryo"/>
        <family val="0"/>
        <charset val="1"/>
      </rPr>
      <t xml:space="preserve">2,303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</si>
  <si>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月は</t>
    </r>
    <r>
      <rPr>
        <sz val="8.5"/>
        <color rgb="FF767676"/>
        <rFont val="Meiryo"/>
        <family val="0"/>
        <charset val="1"/>
      </rPr>
      <t xml:space="preserve">54.0%</t>
    </r>
    <r>
      <rPr>
        <sz val="8.5"/>
        <color rgb="FF767676"/>
        <rFont val="WenQuanYi Zen Hei"/>
        <family val="2"/>
      </rPr>
      <t xml:space="preserve">・上期平均</t>
    </r>
    <r>
      <rPr>
        <sz val="8.5"/>
        <color rgb="FF767676"/>
        <rFont val="Meiryo"/>
        <family val="0"/>
        <charset val="1"/>
      </rPr>
      <t xml:space="preserve">41.4%</t>
    </r>
  </si>
  <si>
    <r>
      <rPr>
        <b val="true"/>
        <sz val="10"/>
        <color rgb="FFC87941"/>
        <rFont val="Meiryo"/>
        <family val="0"/>
        <charset val="1"/>
      </rPr>
      <t xml:space="preserve">8</t>
    </r>
    <r>
      <rPr>
        <b val="true"/>
        <sz val="10"/>
        <color rgb="FFC87941"/>
        <rFont val="WenQuanYi Zen Hei"/>
        <family val="2"/>
      </rPr>
      <t xml:space="preserve">月 </t>
    </r>
    <r>
      <rPr>
        <b val="true"/>
        <sz val="10"/>
        <color rgb="FFC87941"/>
        <rFont val="Meiryo"/>
        <family val="0"/>
        <charset val="1"/>
      </rPr>
      <t xml:space="preserve">4,265 → 9</t>
    </r>
    <r>
      <rPr>
        <b val="true"/>
        <sz val="10"/>
        <color rgb="FFC87941"/>
        <rFont val="WenQuanYi Zen Hei"/>
        <family val="2"/>
      </rPr>
      <t xml:space="preserve">月 </t>
    </r>
    <r>
      <rPr>
        <b val="true"/>
        <sz val="10"/>
        <color rgb="FFC87941"/>
        <rFont val="Meiryo"/>
        <family val="0"/>
        <charset val="1"/>
      </rPr>
      <t xml:space="preserve">21,044</t>
    </r>
    <r>
      <rPr>
        <b val="true"/>
        <sz val="10"/>
        <color rgb="FFC87941"/>
        <rFont val="WenQuanYi Zen Hei"/>
        <family val="2"/>
      </rPr>
      <t xml:space="preserve">。金額は </t>
    </r>
    <r>
      <rPr>
        <b val="true"/>
        <sz val="10"/>
        <color rgb="FFC87941"/>
        <rFont val="Meiryo"/>
        <family val="0"/>
        <charset val="1"/>
      </rPr>
      <t xml:space="preserve">4.9</t>
    </r>
    <r>
      <rPr>
        <b val="true"/>
        <sz val="10"/>
        <color rgb="FFC87941"/>
        <rFont val="WenQuanYi Zen Hei"/>
        <family val="2"/>
      </rPr>
      <t xml:space="preserve">倍 に伸びました。上期</t>
    </r>
    <r>
      <rPr>
        <b val="true"/>
        <sz val="10"/>
        <color rgb="FFC87941"/>
        <rFont val="Meiryo"/>
        <family val="0"/>
        <charset val="1"/>
      </rPr>
      <t xml:space="preserve">6</t>
    </r>
    <r>
      <rPr>
        <b val="true"/>
        <sz val="10"/>
        <color rgb="FFC87941"/>
        <rFont val="WenQuanYi Zen Hei"/>
        <family val="2"/>
      </rPr>
      <t xml:space="preserve">ヶ月で</t>
    </r>
    <r>
      <rPr>
        <b val="true"/>
        <sz val="10"/>
        <color rgb="FFC87941"/>
        <rFont val="Meiryo"/>
        <family val="0"/>
        <charset val="1"/>
      </rPr>
      <t xml:space="preserve">2</t>
    </r>
    <r>
      <rPr>
        <b val="true"/>
        <sz val="10"/>
        <color rgb="FFC87941"/>
        <rFont val="WenQuanYi Zen Hei"/>
        <family val="2"/>
      </rPr>
      <t xml:space="preserve">番目に大きい月です。</t>
    </r>
  </si>
  <si>
    <r>
      <rPr>
        <b val="true"/>
        <sz val="10"/>
        <color rgb="FFB04A3C"/>
        <rFont val="WenQuanYi Zen Hei"/>
        <family val="2"/>
      </rPr>
      <t xml:space="preserve">一方で粗利率は </t>
    </r>
    <r>
      <rPr>
        <b val="true"/>
        <sz val="10"/>
        <color rgb="FFB04A3C"/>
        <rFont val="Meiryo"/>
        <family val="0"/>
        <charset val="1"/>
      </rPr>
      <t xml:space="preserve">26.9%</t>
    </r>
    <r>
      <rPr>
        <b val="true"/>
        <sz val="10"/>
        <color rgb="FFB04A3C"/>
        <rFont val="WenQuanYi Zen Hei"/>
        <family val="2"/>
      </rPr>
      <t xml:space="preserve">。</t>
    </r>
    <r>
      <rPr>
        <b val="true"/>
        <sz val="10"/>
        <color rgb="FFB04A3C"/>
        <rFont val="Meiryo"/>
        <family val="0"/>
        <charset val="1"/>
      </rPr>
      <t xml:space="preserve">8</t>
    </r>
    <r>
      <rPr>
        <b val="true"/>
        <sz val="10"/>
        <color rgb="FFB04A3C"/>
        <rFont val="WenQuanYi Zen Hei"/>
        <family val="2"/>
      </rPr>
      <t xml:space="preserve">月の</t>
    </r>
    <r>
      <rPr>
        <b val="true"/>
        <sz val="10"/>
        <color rgb="FFB04A3C"/>
        <rFont val="Meiryo"/>
        <family val="0"/>
        <charset val="1"/>
      </rPr>
      <t xml:space="preserve">54.0%</t>
    </r>
    <r>
      <rPr>
        <b val="true"/>
        <sz val="10"/>
        <color rgb="FFB04A3C"/>
        <rFont val="WenQuanYi Zen Hei"/>
        <family val="2"/>
      </rPr>
      <t xml:space="preserve">、上期平均</t>
    </r>
    <r>
      <rPr>
        <b val="true"/>
        <sz val="10"/>
        <color rgb="FFB04A3C"/>
        <rFont val="Meiryo"/>
        <family val="0"/>
        <charset val="1"/>
      </rPr>
      <t xml:space="preserve">41.4%</t>
    </r>
    <r>
      <rPr>
        <b val="true"/>
        <sz val="10"/>
        <color rgb="FFB04A3C"/>
        <rFont val="WenQuanYi Zen Hei"/>
        <family val="2"/>
      </rPr>
      <t xml:space="preserve">を下回り、上期では</t>
    </r>
    <r>
      <rPr>
        <b val="true"/>
        <sz val="10"/>
        <color rgb="FFB04A3C"/>
        <rFont val="Meiryo"/>
        <family val="0"/>
        <charset val="1"/>
      </rPr>
      <t xml:space="preserve">4</t>
    </r>
    <r>
      <rPr>
        <b val="true"/>
        <sz val="10"/>
        <color rgb="FFB04A3C"/>
        <rFont val="WenQuanYi Zen Hei"/>
        <family val="2"/>
      </rPr>
      <t xml:space="preserve">月・</t>
    </r>
    <r>
      <rPr>
        <b val="true"/>
        <sz val="10"/>
        <color rgb="FFB04A3C"/>
        <rFont val="Meiryo"/>
        <family val="0"/>
        <charset val="1"/>
      </rPr>
      <t xml:space="preserve">6</t>
    </r>
    <r>
      <rPr>
        <b val="true"/>
        <sz val="10"/>
        <color rgb="FFB04A3C"/>
        <rFont val="WenQuanYi Zen Hei"/>
        <family val="2"/>
      </rPr>
      <t xml:space="preserve">月に次いで低い水準です。</t>
    </r>
  </si>
  <si>
    <r>
      <rPr>
        <b val="true"/>
        <sz val="12.5"/>
        <color rgb="FF2C5F2D"/>
        <rFont val="WenQuanYi Zen Hei"/>
        <family val="2"/>
      </rPr>
      <t xml:space="preserve">②　</t>
    </r>
    <r>
      <rPr>
        <b val="true"/>
        <sz val="12.5"/>
        <color rgb="FF2C5F2D"/>
        <rFont val="Meiryo"/>
        <family val="0"/>
        <charset val="1"/>
      </rPr>
      <t xml:space="preserve">9</t>
    </r>
    <r>
      <rPr>
        <b val="true"/>
        <sz val="12.5"/>
        <color rgb="FF2C5F2D"/>
        <rFont val="WenQuanYi Zen Hei"/>
        <family val="2"/>
      </rPr>
      <t xml:space="preserve">月の実績｜誰が作ったか</t>
    </r>
  </si>
  <si>
    <r>
      <rPr>
        <sz val="9"/>
        <color rgb="FF767676"/>
        <rFont val="WenQuanYi Zen Hei"/>
        <family val="2"/>
      </rPr>
      <t xml:space="preserve">商談所有者別。上位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名で全体の</t>
    </r>
    <r>
      <rPr>
        <sz val="9"/>
        <color rgb="FF767676"/>
        <rFont val="Meiryo"/>
        <family val="0"/>
        <charset val="1"/>
      </rPr>
      <t xml:space="preserve">95.6%</t>
    </r>
    <r>
      <rPr>
        <sz val="9"/>
        <color rgb="FF767676"/>
        <rFont val="WenQuanYi Zen Hei"/>
        <family val="2"/>
      </rPr>
      <t xml:space="preserve">です。</t>
    </r>
  </si>
  <si>
    <t xml:space="preserve">片岡さん</t>
  </si>
  <si>
    <t xml:space="preserve">安達さん</t>
  </si>
  <si>
    <t xml:space="preserve">落合さん</t>
  </si>
  <si>
    <r>
      <rPr>
        <b val="true"/>
        <sz val="9.5"/>
        <color rgb="FF767676"/>
        <rFont val="WenQuanYi Zen Hei"/>
        <family val="2"/>
      </rPr>
      <t xml:space="preserve">その他</t>
    </r>
    <r>
      <rPr>
        <b val="true"/>
        <sz val="9.5"/>
        <color rgb="FF767676"/>
        <rFont val="Meiryo"/>
        <family val="0"/>
        <charset val="1"/>
      </rPr>
      <t xml:space="preserve">3</t>
    </r>
    <r>
      <rPr>
        <b val="true"/>
        <sz val="9.5"/>
        <color rgb="FF767676"/>
        <rFont val="WenQuanYi Zen Hei"/>
        <family val="2"/>
      </rPr>
      <t xml:space="preserve">名</t>
    </r>
  </si>
  <si>
    <r>
      <rPr>
        <sz val="8.5"/>
        <color rgb="FF767676"/>
        <rFont val="Meiryo"/>
        <family val="0"/>
        <charset val="1"/>
      </rPr>
      <t xml:space="preserve">6</t>
    </r>
    <r>
      <rPr>
        <sz val="8.5"/>
        <color rgb="FF767676"/>
        <rFont val="WenQuanYi Zen Hei"/>
        <family val="2"/>
      </rPr>
      <t xml:space="preserve">件・全体の</t>
    </r>
    <r>
      <rPr>
        <sz val="8.5"/>
        <color rgb="FF767676"/>
        <rFont val="Meiryo"/>
        <family val="0"/>
        <charset val="1"/>
      </rPr>
      <t xml:space="preserve">42.8%</t>
    </r>
  </si>
  <si>
    <r>
      <rPr>
        <sz val="8.5"/>
        <color rgb="FF767676"/>
        <rFont val="Meiryo"/>
        <family val="0"/>
        <charset val="1"/>
      </rPr>
      <t xml:space="preserve">3</t>
    </r>
    <r>
      <rPr>
        <sz val="8.5"/>
        <color rgb="FF767676"/>
        <rFont val="WenQuanYi Zen Hei"/>
        <family val="2"/>
      </rPr>
      <t xml:space="preserve">件・全体の</t>
    </r>
    <r>
      <rPr>
        <sz val="8.5"/>
        <color rgb="FF767676"/>
        <rFont val="Meiryo"/>
        <family val="0"/>
        <charset val="1"/>
      </rPr>
      <t xml:space="preserve">30.1%</t>
    </r>
    <r>
      <rPr>
        <sz val="8.5"/>
        <color rgb="FF767676"/>
        <rFont val="WenQuanYi Zen Hei"/>
        <family val="2"/>
      </rPr>
      <t xml:space="preserve">（全部ホウライ）</t>
    </r>
  </si>
  <si>
    <r>
      <rPr>
        <sz val="8.5"/>
        <color rgb="FF767676"/>
        <rFont val="Meiryo"/>
        <family val="0"/>
        <charset val="1"/>
      </rPr>
      <t xml:space="preserve">4</t>
    </r>
    <r>
      <rPr>
        <sz val="8.5"/>
        <color rgb="FF767676"/>
        <rFont val="WenQuanYi Zen Hei"/>
        <family val="2"/>
      </rPr>
      <t xml:space="preserve">件・全体の</t>
    </r>
    <r>
      <rPr>
        <sz val="8.5"/>
        <color rgb="FF767676"/>
        <rFont val="Meiryo"/>
        <family val="0"/>
        <charset val="1"/>
      </rPr>
      <t xml:space="preserve">22.7%</t>
    </r>
  </si>
  <si>
    <r>
      <rPr>
        <sz val="8.5"/>
        <color rgb="FF767676"/>
        <rFont val="WenQuanYi Zen Hei"/>
        <family val="2"/>
      </rPr>
      <t xml:space="preserve">恒冨・五江渕・森口 計</t>
    </r>
    <r>
      <rPr>
        <sz val="8.5"/>
        <color rgb="FF767676"/>
        <rFont val="Meiryo"/>
        <family val="0"/>
        <charset val="1"/>
      </rPr>
      <t xml:space="preserve">6</t>
    </r>
    <r>
      <rPr>
        <sz val="8.5"/>
        <color rgb="FF767676"/>
        <rFont val="WenQuanYi Zen Hei"/>
        <family val="2"/>
      </rPr>
      <t xml:space="preserve">件</t>
    </r>
  </si>
  <si>
    <r>
      <rPr>
        <b val="true"/>
        <sz val="10"/>
        <color rgb="FFC87941"/>
        <rFont val="WenQuanYi Zen Hei"/>
        <family val="2"/>
      </rPr>
      <t xml:space="preserve">片岡さんの</t>
    </r>
    <r>
      <rPr>
        <b val="true"/>
        <sz val="10"/>
        <color rgb="FFC87941"/>
        <rFont val="Meiryo"/>
        <family val="0"/>
        <charset val="1"/>
      </rPr>
      <t xml:space="preserve">6</t>
    </r>
    <r>
      <rPr>
        <b val="true"/>
        <sz val="10"/>
        <color rgb="FFC87941"/>
        <rFont val="WenQuanYi Zen Hei"/>
        <family val="2"/>
      </rPr>
      <t xml:space="preserve">件のうち乃村工藝社が</t>
    </r>
    <r>
      <rPr>
        <b val="true"/>
        <sz val="10"/>
        <color rgb="FFC87941"/>
        <rFont val="Meiryo"/>
        <family val="0"/>
        <charset val="1"/>
      </rPr>
      <t xml:space="preserve">4</t>
    </r>
    <r>
      <rPr>
        <b val="true"/>
        <sz val="10"/>
        <color rgb="FFC87941"/>
        <rFont val="WenQuanYi Zen Hei"/>
        <family val="2"/>
      </rPr>
      <t xml:space="preserve">件・</t>
    </r>
    <r>
      <rPr>
        <b val="true"/>
        <sz val="10"/>
        <color rgb="FFC87941"/>
        <rFont val="Meiryo"/>
        <family val="0"/>
        <charset val="1"/>
      </rPr>
      <t xml:space="preserve">8,783</t>
    </r>
    <r>
      <rPr>
        <b val="true"/>
        <sz val="10"/>
        <color rgb="FFC87941"/>
        <rFont val="WenQuanYi Zen Hei"/>
        <family val="2"/>
      </rPr>
      <t xml:space="preserve">（全体の</t>
    </r>
    <r>
      <rPr>
        <b val="true"/>
        <sz val="10"/>
        <color rgb="FFC87941"/>
        <rFont val="Meiryo"/>
        <family val="0"/>
        <charset val="1"/>
      </rPr>
      <t xml:space="preserve">41.7%</t>
    </r>
    <r>
      <rPr>
        <b val="true"/>
        <sz val="10"/>
        <color rgb="FFC87941"/>
        <rFont val="WenQuanYi Zen Hei"/>
        <family val="2"/>
      </rPr>
      <t xml:space="preserve">）。</t>
    </r>
    <r>
      <rPr>
        <b val="true"/>
        <sz val="10"/>
        <color rgb="FFC87941"/>
        <rFont val="Meiryo"/>
        <family val="0"/>
        <charset val="1"/>
      </rPr>
      <t xml:space="preserve">1</t>
    </r>
    <r>
      <rPr>
        <b val="true"/>
        <sz val="10"/>
        <color rgb="FFC87941"/>
        <rFont val="WenQuanYi Zen Hei"/>
        <family val="2"/>
      </rPr>
      <t xml:space="preserve">社への依存が続いています。</t>
    </r>
  </si>
  <si>
    <r>
      <rPr>
        <b val="true"/>
        <sz val="12.5"/>
        <color rgb="FF2C5F2D"/>
        <rFont val="WenQuanYi Zen Hei"/>
        <family val="2"/>
      </rPr>
      <t xml:space="preserve">③　</t>
    </r>
    <r>
      <rPr>
        <b val="true"/>
        <sz val="12.5"/>
        <color rgb="FF2C5F2D"/>
        <rFont val="Meiryo"/>
        <family val="0"/>
        <charset val="1"/>
      </rPr>
      <t xml:space="preserve">9</t>
    </r>
    <r>
      <rPr>
        <b val="true"/>
        <sz val="12.5"/>
        <color rgb="FF2C5F2D"/>
        <rFont val="WenQuanYi Zen Hei"/>
        <family val="2"/>
      </rPr>
      <t xml:space="preserve">月の実績｜どこから来たか</t>
    </r>
  </si>
  <si>
    <r>
      <rPr>
        <sz val="9"/>
        <color rgb="FF767676"/>
        <rFont val="WenQuanYi Zen Hei"/>
        <family val="2"/>
      </rPr>
      <t xml:space="preserve">商談のきっかけ別。リピート系が</t>
    </r>
    <r>
      <rPr>
        <sz val="9"/>
        <color rgb="FF767676"/>
        <rFont val="Meiryo"/>
        <family val="0"/>
        <charset val="1"/>
      </rPr>
      <t xml:space="preserve">73.8%</t>
    </r>
    <r>
      <rPr>
        <sz val="9"/>
        <color rgb="FF767676"/>
        <rFont val="WenQuanYi Zen Hei"/>
        <family val="2"/>
      </rPr>
      <t xml:space="preserve">を占めます。</t>
    </r>
  </si>
  <si>
    <r>
      <rPr>
        <b val="true"/>
        <sz val="9.5"/>
        <color rgb="FF767676"/>
        <rFont val="WenQuanYi Zen Hei"/>
        <family val="2"/>
      </rPr>
      <t xml:space="preserve">当社</t>
    </r>
    <r>
      <rPr>
        <b val="true"/>
        <sz val="9.5"/>
        <color rgb="FF767676"/>
        <rFont val="Meiryo"/>
        <family val="0"/>
        <charset val="1"/>
      </rPr>
      <t xml:space="preserve">/</t>
    </r>
    <r>
      <rPr>
        <b val="true"/>
        <sz val="9.5"/>
        <color rgb="FF767676"/>
        <rFont val="WenQuanYi Zen Hei"/>
        <family val="2"/>
      </rPr>
      <t xml:space="preserve">営業</t>
    </r>
    <r>
      <rPr>
        <b val="true"/>
        <sz val="9.5"/>
        <color rgb="FF767676"/>
        <rFont val="Meiryo"/>
        <family val="0"/>
        <charset val="1"/>
      </rPr>
      <t xml:space="preserve">G(</t>
    </r>
    <r>
      <rPr>
        <b val="true"/>
        <sz val="9.5"/>
        <color rgb="FF767676"/>
        <rFont val="WenQuanYi Zen Hei"/>
        <family val="2"/>
      </rPr>
      <t xml:space="preserve">リピート</t>
    </r>
    <r>
      <rPr>
        <b val="true"/>
        <sz val="9.5"/>
        <color rgb="FF767676"/>
        <rFont val="Meiryo"/>
        <family val="0"/>
        <charset val="1"/>
      </rPr>
      <t xml:space="preserve">)</t>
    </r>
  </si>
  <si>
    <r>
      <rPr>
        <b val="true"/>
        <sz val="9.5"/>
        <color rgb="FF767676"/>
        <rFont val="WenQuanYi Zen Hei"/>
        <family val="2"/>
      </rPr>
      <t xml:space="preserve">顧客</t>
    </r>
    <r>
      <rPr>
        <b val="true"/>
        <sz val="9.5"/>
        <color rgb="FF767676"/>
        <rFont val="Meiryo"/>
        <family val="0"/>
        <charset val="1"/>
      </rPr>
      <t xml:space="preserve">/</t>
    </r>
    <r>
      <rPr>
        <b val="true"/>
        <sz val="9.5"/>
        <color rgb="FF767676"/>
        <rFont val="WenQuanYi Zen Hei"/>
        <family val="2"/>
      </rPr>
      <t xml:space="preserve">取引先リピート</t>
    </r>
  </si>
  <si>
    <r>
      <rPr>
        <b val="true"/>
        <sz val="9.5"/>
        <color rgb="FF767676"/>
        <rFont val="WenQuanYi Zen Hei"/>
        <family val="2"/>
      </rPr>
      <t xml:space="preserve">当社</t>
    </r>
    <r>
      <rPr>
        <b val="true"/>
        <sz val="9.5"/>
        <color rgb="FF767676"/>
        <rFont val="Meiryo"/>
        <family val="0"/>
        <charset val="1"/>
      </rPr>
      <t xml:space="preserve">/</t>
    </r>
    <r>
      <rPr>
        <b val="true"/>
        <sz val="9.5"/>
        <color rgb="FF767676"/>
        <rFont val="WenQuanYi Zen Hei"/>
        <family val="2"/>
      </rPr>
      <t xml:space="preserve">商談前営業</t>
    </r>
  </si>
  <si>
    <t xml:space="preserve">その他</t>
  </si>
  <si>
    <r>
      <rPr>
        <sz val="8.5"/>
        <color rgb="FF767676"/>
        <rFont val="Meiryo"/>
        <family val="0"/>
        <charset val="1"/>
      </rPr>
      <t xml:space="preserve">4</t>
    </r>
    <r>
      <rPr>
        <sz val="8.5"/>
        <color rgb="FF767676"/>
        <rFont val="WenQuanYi Zen Hei"/>
        <family val="2"/>
      </rPr>
      <t xml:space="preserve">件・</t>
    </r>
    <r>
      <rPr>
        <sz val="8.5"/>
        <color rgb="FF767676"/>
        <rFont val="Meiryo"/>
        <family val="0"/>
        <charset val="1"/>
      </rPr>
      <t xml:space="preserve">43.2%</t>
    </r>
  </si>
  <si>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件・</t>
    </r>
    <r>
      <rPr>
        <sz val="8.5"/>
        <color rgb="FF767676"/>
        <rFont val="Meiryo"/>
        <family val="0"/>
        <charset val="1"/>
      </rPr>
      <t xml:space="preserve">30.6%</t>
    </r>
  </si>
  <si>
    <r>
      <rPr>
        <sz val="8.5"/>
        <color rgb="FF767676"/>
        <rFont val="Meiryo"/>
        <family val="0"/>
        <charset val="1"/>
      </rPr>
      <t xml:space="preserve">2</t>
    </r>
    <r>
      <rPr>
        <sz val="8.5"/>
        <color rgb="FF767676"/>
        <rFont val="WenQuanYi Zen Hei"/>
        <family val="2"/>
      </rPr>
      <t xml:space="preserve">件・</t>
    </r>
    <r>
      <rPr>
        <sz val="8.5"/>
        <color rgb="FF767676"/>
        <rFont val="Meiryo"/>
        <family val="0"/>
        <charset val="1"/>
      </rPr>
      <t xml:space="preserve">23.5%</t>
    </r>
    <r>
      <rPr>
        <sz val="8.5"/>
        <color rgb="FF767676"/>
        <rFont val="WenQuanYi Zen Hei"/>
        <family val="2"/>
      </rPr>
      <t xml:space="preserve">（どちらもホウライ）</t>
    </r>
  </si>
  <si>
    <r>
      <rPr>
        <sz val="8.5"/>
        <color rgb="FF767676"/>
        <rFont val="WenQuanYi Zen Hei"/>
        <family val="2"/>
      </rPr>
      <t xml:space="preserve">追加受注・新規・</t>
    </r>
    <r>
      <rPr>
        <sz val="8.5"/>
        <color rgb="FF767676"/>
        <rFont val="Meiryo"/>
        <family val="0"/>
        <charset val="1"/>
      </rPr>
      <t xml:space="preserve">eTREE </t>
    </r>
    <r>
      <rPr>
        <sz val="8.5"/>
        <color rgb="FF767676"/>
        <rFont val="WenQuanYi Zen Hei"/>
        <family val="2"/>
      </rPr>
      <t xml:space="preserve">計</t>
    </r>
    <r>
      <rPr>
        <sz val="8.5"/>
        <color rgb="FF767676"/>
        <rFont val="Meiryo"/>
        <family val="0"/>
        <charset val="1"/>
      </rPr>
      <t xml:space="preserve">5</t>
    </r>
    <r>
      <rPr>
        <sz val="8.5"/>
        <color rgb="FF767676"/>
        <rFont val="WenQuanYi Zen Hei"/>
        <family val="2"/>
      </rPr>
      <t xml:space="preserve">件</t>
    </r>
  </si>
  <si>
    <r>
      <rPr>
        <b val="true"/>
        <sz val="10"/>
        <color rgb="FFC87941"/>
        <rFont val="WenQuanYi Zen Hei"/>
        <family val="2"/>
      </rPr>
      <t xml:space="preserve">商談前営業が</t>
    </r>
    <r>
      <rPr>
        <b val="true"/>
        <sz val="10"/>
        <color rgb="FFC87941"/>
        <rFont val="Meiryo"/>
        <family val="0"/>
        <charset val="1"/>
      </rPr>
      <t xml:space="preserve">4,950</t>
    </r>
    <r>
      <rPr>
        <b val="true"/>
        <sz val="10"/>
        <color rgb="FFC87941"/>
        <rFont val="WenQuanYi Zen Hei"/>
        <family val="2"/>
      </rPr>
      <t xml:space="preserve">（</t>
    </r>
    <r>
      <rPr>
        <b val="true"/>
        <sz val="10"/>
        <color rgb="FFC87941"/>
        <rFont val="Meiryo"/>
        <family val="0"/>
        <charset val="1"/>
      </rPr>
      <t xml:space="preserve">23.5%</t>
    </r>
    <r>
      <rPr>
        <b val="true"/>
        <sz val="10"/>
        <color rgb="FFC87941"/>
        <rFont val="WenQuanYi Zen Hei"/>
        <family val="2"/>
      </rPr>
      <t xml:space="preserve">）。ただし</t>
    </r>
    <r>
      <rPr>
        <b val="true"/>
        <sz val="10"/>
        <color rgb="FFC87941"/>
        <rFont val="Meiryo"/>
        <family val="0"/>
        <charset val="1"/>
      </rPr>
      <t xml:space="preserve">2</t>
    </r>
    <r>
      <rPr>
        <b val="true"/>
        <sz val="10"/>
        <color rgb="FFC87941"/>
        <rFont val="WenQuanYi Zen Hei"/>
        <family val="2"/>
      </rPr>
      <t xml:space="preserve">件ともホウライ様の千本松牧場</t>
    </r>
    <r>
      <rPr>
        <b val="true"/>
        <sz val="10"/>
        <color rgb="FFC87941"/>
        <rFont val="Meiryo"/>
        <family val="0"/>
        <charset val="1"/>
      </rPr>
      <t xml:space="preserve">PJ</t>
    </r>
    <r>
      <rPr>
        <b val="true"/>
        <sz val="10"/>
        <color rgb="FFC87941"/>
        <rFont val="WenQuanYi Zen Hei"/>
        <family val="2"/>
      </rPr>
      <t xml:space="preserve">で、実質</t>
    </r>
    <r>
      <rPr>
        <b val="true"/>
        <sz val="10"/>
        <color rgb="FFC87941"/>
        <rFont val="Meiryo"/>
        <family val="0"/>
        <charset val="1"/>
      </rPr>
      <t xml:space="preserve">1</t>
    </r>
    <r>
      <rPr>
        <b val="true"/>
        <sz val="10"/>
        <color rgb="FFC87941"/>
        <rFont val="WenQuanYi Zen Hei"/>
        <family val="2"/>
      </rPr>
      <t xml:space="preserve">社です。</t>
    </r>
  </si>
  <si>
    <r>
      <rPr>
        <b val="true"/>
        <sz val="10"/>
        <color rgb="FFB04A3C"/>
        <rFont val="WenQuanYi Zen Hei"/>
        <family val="2"/>
      </rPr>
      <t xml:space="preserve">新規開拓（営業</t>
    </r>
    <r>
      <rPr>
        <b val="true"/>
        <sz val="10"/>
        <color rgb="FFB04A3C"/>
        <rFont val="Meiryo"/>
        <family val="0"/>
        <charset val="1"/>
      </rPr>
      <t xml:space="preserve">G</t>
    </r>
    <r>
      <rPr>
        <b val="true"/>
        <sz val="10"/>
        <color rgb="FFB04A3C"/>
        <rFont val="WenQuanYi Zen Hei"/>
        <family val="2"/>
      </rPr>
      <t xml:space="preserve">新規）は</t>
    </r>
    <r>
      <rPr>
        <b val="true"/>
        <sz val="10"/>
        <color rgb="FFB04A3C"/>
        <rFont val="Meiryo"/>
        <family val="0"/>
        <charset val="1"/>
      </rPr>
      <t xml:space="preserve">1</t>
    </r>
    <r>
      <rPr>
        <b val="true"/>
        <sz val="10"/>
        <color rgb="FFB04A3C"/>
        <rFont val="WenQuanYi Zen Hei"/>
        <family val="2"/>
      </rPr>
      <t xml:space="preserve">件</t>
    </r>
    <r>
      <rPr>
        <b val="true"/>
        <sz val="10"/>
        <color rgb="FFB04A3C"/>
        <rFont val="Meiryo"/>
        <family val="0"/>
        <charset val="1"/>
      </rPr>
      <t xml:space="preserve">38</t>
    </r>
    <r>
      <rPr>
        <b val="true"/>
        <sz val="10"/>
        <color rgb="FFB04A3C"/>
        <rFont val="WenQuanYi Zen Hei"/>
        <family val="2"/>
      </rPr>
      <t xml:space="preserve">、</t>
    </r>
    <r>
      <rPr>
        <b val="true"/>
        <sz val="10"/>
        <color rgb="FFB04A3C"/>
        <rFont val="Meiryo"/>
        <family val="0"/>
        <charset val="1"/>
      </rPr>
      <t xml:space="preserve">eTREE</t>
    </r>
    <r>
      <rPr>
        <b val="true"/>
        <sz val="10"/>
        <color rgb="FFB04A3C"/>
        <rFont val="WenQuanYi Zen Hei"/>
        <family val="2"/>
      </rPr>
      <t xml:space="preserve">経由は</t>
    </r>
    <r>
      <rPr>
        <b val="true"/>
        <sz val="10"/>
        <color rgb="FFB04A3C"/>
        <rFont val="Meiryo"/>
        <family val="0"/>
        <charset val="1"/>
      </rPr>
      <t xml:space="preserve">1</t>
    </r>
    <r>
      <rPr>
        <b val="true"/>
        <sz val="10"/>
        <color rgb="FFB04A3C"/>
        <rFont val="WenQuanYi Zen Hei"/>
        <family val="2"/>
      </rPr>
      <t xml:space="preserve">件</t>
    </r>
    <r>
      <rPr>
        <b val="true"/>
        <sz val="10"/>
        <color rgb="FFB04A3C"/>
        <rFont val="Meiryo"/>
        <family val="0"/>
        <charset val="1"/>
      </rPr>
      <t xml:space="preserve">12</t>
    </r>
    <r>
      <rPr>
        <b val="true"/>
        <sz val="10"/>
        <color rgb="FFB04A3C"/>
        <rFont val="WenQuanYi Zen Hei"/>
        <family val="2"/>
      </rPr>
      <t xml:space="preserve">。新しい入口からの実績はほぼありません。</t>
    </r>
  </si>
  <si>
    <t xml:space="preserve">④　今月のトピック</t>
  </si>
  <si>
    <r>
      <rPr>
        <sz val="9"/>
        <color rgb="FF767676"/>
        <rFont val="WenQuanYi Zen Hei"/>
        <family val="2"/>
      </rPr>
      <t xml:space="preserve">各トピックを</t>
    </r>
    <r>
      <rPr>
        <sz val="9"/>
        <color rgb="FF767676"/>
        <rFont val="Meiryo"/>
        <family val="0"/>
        <charset val="1"/>
      </rPr>
      <t xml:space="preserve">9</t>
    </r>
    <r>
      <rPr>
        <sz val="9"/>
        <color rgb="FF767676"/>
        <rFont val="WenQuanYi Zen Hei"/>
        <family val="2"/>
      </rPr>
      <t xml:space="preserve">月の実績（成約金額）と突き合わせています。</t>
    </r>
  </si>
  <si>
    <t xml:space="preserve">トピック</t>
  </si>
  <si>
    <t xml:space="preserve">何があったか</t>
  </si>
  <si>
    <r>
      <rPr>
        <b val="true"/>
        <sz val="9.5"/>
        <color rgb="FFFFFFFF"/>
        <rFont val="Meiryo"/>
        <family val="0"/>
        <charset val="1"/>
      </rPr>
      <t xml:space="preserve">9</t>
    </r>
    <r>
      <rPr>
        <b val="true"/>
        <sz val="9.5"/>
        <color rgb="FFFFFFFF"/>
        <rFont val="WenQuanYi Zen Hei"/>
        <family val="2"/>
      </rPr>
      <t xml:space="preserve">月の実績への寄与</t>
    </r>
  </si>
  <si>
    <t xml:space="preserve">補足</t>
  </si>
  <si>
    <t xml:space="preserve">リリカラさん</t>
  </si>
  <si>
    <t xml:space="preserve">コンペ対応が完了。</t>
  </si>
  <si>
    <r>
      <rPr>
        <sz val="9.5"/>
        <color rgb="FFB04A3C"/>
        <rFont val="WenQuanYi Zen Hei"/>
        <family val="2"/>
      </rPr>
      <t xml:space="preserve">このレポートに該当なし（</t>
    </r>
    <r>
      <rPr>
        <sz val="9.5"/>
        <color rgb="FFB04A3C"/>
        <rFont val="Meiryo"/>
        <family val="0"/>
        <charset val="1"/>
      </rPr>
      <t xml:space="preserve">9</t>
    </r>
    <r>
      <rPr>
        <sz val="9.5"/>
        <color rgb="FFB04A3C"/>
        <rFont val="WenQuanYi Zen Hei"/>
        <family val="2"/>
      </rPr>
      <t xml:space="preserve">月実績</t>
    </r>
    <r>
      <rPr>
        <sz val="9.5"/>
        <color rgb="FFB04A3C"/>
        <rFont val="Meiryo"/>
        <family val="0"/>
        <charset val="1"/>
      </rPr>
      <t xml:space="preserve">19</t>
    </r>
    <r>
      <rPr>
        <sz val="9.5"/>
        <color rgb="FFB04A3C"/>
        <rFont val="WenQuanYi Zen Hei"/>
        <family val="2"/>
      </rPr>
      <t xml:space="preserve">件に含まれない）</t>
    </r>
  </si>
  <si>
    <r>
      <rPr>
        <sz val="9.5"/>
        <color rgb="FF1A1A1A"/>
        <rFont val="WenQuanYi Zen Hei"/>
        <family val="2"/>
      </rPr>
      <t xml:space="preserve">受注なら</t>
    </r>
    <r>
      <rPr>
        <sz val="9.5"/>
        <color rgb="FF1A1A1A"/>
        <rFont val="Meiryo"/>
        <family val="0"/>
        <charset val="1"/>
      </rPr>
      <t xml:space="preserve">10</t>
    </r>
    <r>
      <rPr>
        <sz val="9.5"/>
        <color rgb="FF1A1A1A"/>
        <rFont val="WenQuanYi Zen Hei"/>
        <family val="2"/>
      </rPr>
      <t xml:space="preserve">月以降の実績に乗る。結果にかかわらず</t>
    </r>
    <r>
      <rPr>
        <sz val="9.5"/>
        <color rgb="FF1A1A1A"/>
        <rFont val="Meiryo"/>
        <family val="0"/>
        <charset val="1"/>
      </rPr>
      <t xml:space="preserve">SF</t>
    </r>
    <r>
      <rPr>
        <sz val="9.5"/>
        <color rgb="FF1A1A1A"/>
        <rFont val="WenQuanYi Zen Hei"/>
        <family val="2"/>
      </rPr>
      <t xml:space="preserve">に起票を</t>
    </r>
  </si>
  <si>
    <r>
      <rPr>
        <b val="true"/>
        <sz val="9.5"/>
        <color rgb="FF2C5F2D"/>
        <rFont val="Meiryo"/>
        <family val="0"/>
        <charset val="1"/>
      </rPr>
      <t xml:space="preserve">ATONA</t>
    </r>
    <r>
      <rPr>
        <b val="true"/>
        <sz val="9.5"/>
        <color rgb="FF2C5F2D"/>
        <rFont val="WenQuanYi Zen Hei"/>
        <family val="2"/>
      </rPr>
      <t xml:space="preserve">（乃村工藝社）</t>
    </r>
  </si>
  <si>
    <r>
      <rPr>
        <sz val="9.5"/>
        <color rgb="FF1A1A1A"/>
        <rFont val="WenQuanYi Zen Hei"/>
        <family val="2"/>
      </rPr>
      <t xml:space="preserve">京都案件の納品・売上計上が完了。</t>
    </r>
    <r>
      <rPr>
        <sz val="9.5"/>
        <color rgb="FF1A1A1A"/>
        <rFont val="Meiryo"/>
        <family val="0"/>
        <charset val="1"/>
      </rPr>
      <t xml:space="preserve">FFE</t>
    </r>
    <r>
      <rPr>
        <sz val="9.5"/>
        <color rgb="FF1A1A1A"/>
        <rFont val="WenQuanYi Zen Hei"/>
        <family val="2"/>
      </rPr>
      <t xml:space="preserve">と内装突板の</t>
    </r>
    <r>
      <rPr>
        <sz val="9.5"/>
        <color rgb="FF1A1A1A"/>
        <rFont val="Meiryo"/>
        <family val="0"/>
        <charset val="1"/>
      </rPr>
      <t xml:space="preserve">2</t>
    </r>
    <r>
      <rPr>
        <sz val="9.5"/>
        <color rgb="FF1A1A1A"/>
        <rFont val="WenQuanYi Zen Hei"/>
        <family val="2"/>
      </rPr>
      <t xml:space="preserve">件。</t>
    </r>
  </si>
  <si>
    <r>
      <rPr>
        <sz val="9.5"/>
        <color rgb="FF1A1A1A"/>
        <rFont val="Meiryo"/>
        <family val="0"/>
        <charset val="1"/>
      </rPr>
      <t xml:space="preserve">8,480</t>
    </r>
    <r>
      <rPr>
        <sz val="9.5"/>
        <color rgb="FF1A1A1A"/>
        <rFont val="WenQuanYi Zen Hei"/>
        <family val="2"/>
      </rPr>
      <t xml:space="preserve">（</t>
    </r>
    <r>
      <rPr>
        <sz val="9.5"/>
        <color rgb="FF1A1A1A"/>
        <rFont val="Meiryo"/>
        <family val="0"/>
        <charset val="1"/>
      </rPr>
      <t xml:space="preserve">FFE 5,900</t>
    </r>
    <r>
      <rPr>
        <sz val="9.5"/>
        <color rgb="FF1A1A1A"/>
        <rFont val="WenQuanYi Zen Hei"/>
        <family val="2"/>
      </rPr>
      <t xml:space="preserve">＋内装突板 </t>
    </r>
    <r>
      <rPr>
        <sz val="9.5"/>
        <color rgb="FF1A1A1A"/>
        <rFont val="Meiryo"/>
        <family val="0"/>
        <charset val="1"/>
      </rPr>
      <t xml:space="preserve">2,580</t>
    </r>
    <r>
      <rPr>
        <sz val="9.5"/>
        <color rgb="FF1A1A1A"/>
        <rFont val="WenQuanYi Zen Hei"/>
        <family val="2"/>
      </rPr>
      <t xml:space="preserve">）＝</t>
    </r>
    <r>
      <rPr>
        <sz val="9.5"/>
        <color rgb="FF1A1A1A"/>
        <rFont val="Meiryo"/>
        <family val="0"/>
        <charset val="1"/>
      </rPr>
      <t xml:space="preserve">9</t>
    </r>
    <r>
      <rPr>
        <sz val="9.5"/>
        <color rgb="FF1A1A1A"/>
        <rFont val="WenQuanYi Zen Hei"/>
        <family val="2"/>
      </rPr>
      <t xml:space="preserve">月実績の</t>
    </r>
    <r>
      <rPr>
        <sz val="9.5"/>
        <color rgb="FF1A1A1A"/>
        <rFont val="Meiryo"/>
        <family val="0"/>
        <charset val="1"/>
      </rPr>
      <t xml:space="preserve">40.3%</t>
    </r>
    <r>
      <rPr>
        <sz val="9.5"/>
        <color rgb="FF1A1A1A"/>
        <rFont val="WenQuanYi Zen Hei"/>
        <family val="2"/>
      </rPr>
      <t xml:space="preserve">。粗利 </t>
    </r>
    <r>
      <rPr>
        <sz val="9.5"/>
        <color rgb="FF1A1A1A"/>
        <rFont val="Meiryo"/>
        <family val="0"/>
        <charset val="1"/>
      </rPr>
      <t xml:space="preserve">2,070</t>
    </r>
    <r>
      <rPr>
        <sz val="9.5"/>
        <color rgb="FF1A1A1A"/>
        <rFont val="WenQuanYi Zen Hei"/>
        <family val="2"/>
      </rPr>
      <t xml:space="preserve">・粗利率</t>
    </r>
    <r>
      <rPr>
        <sz val="9.5"/>
        <color rgb="FF1A1A1A"/>
        <rFont val="Meiryo"/>
        <family val="0"/>
        <charset val="1"/>
      </rPr>
      <t xml:space="preserve">24.4%</t>
    </r>
  </si>
  <si>
    <r>
      <rPr>
        <sz val="9.5"/>
        <color rgb="FF1A1A1A"/>
        <rFont val="Meiryo"/>
        <family val="0"/>
        <charset val="1"/>
      </rPr>
      <t xml:space="preserve">9</t>
    </r>
    <r>
      <rPr>
        <sz val="9.5"/>
        <color rgb="FF1A1A1A"/>
        <rFont val="WenQuanYi Zen Hei"/>
        <family val="2"/>
      </rPr>
      <t xml:space="preserve">月で最大の実績。きっかけは「営業</t>
    </r>
    <r>
      <rPr>
        <sz val="9.5"/>
        <color rgb="FF1A1A1A"/>
        <rFont val="Meiryo"/>
        <family val="0"/>
        <charset val="1"/>
      </rPr>
      <t xml:space="preserve">G(</t>
    </r>
    <r>
      <rPr>
        <sz val="9.5"/>
        <color rgb="FF1A1A1A"/>
        <rFont val="WenQuanYi Zen Hei"/>
        <family val="2"/>
      </rPr>
      <t xml:space="preserve">リピート</t>
    </r>
    <r>
      <rPr>
        <sz val="9.5"/>
        <color rgb="FF1A1A1A"/>
        <rFont val="Meiryo"/>
        <family val="0"/>
        <charset val="1"/>
      </rPr>
      <t xml:space="preserve">)</t>
    </r>
    <r>
      <rPr>
        <sz val="9.5"/>
        <color rgb="FF1A1A1A"/>
        <rFont val="WenQuanYi Zen Hei"/>
        <family val="2"/>
      </rPr>
      <t xml:space="preserve">」。所有者は片岡さん</t>
    </r>
  </si>
  <si>
    <t xml:space="preserve">ホウライさん</t>
  </si>
  <si>
    <r>
      <rPr>
        <sz val="9.5"/>
        <color rgb="FF1A1A1A"/>
        <rFont val="WenQuanYi Zen Hei"/>
        <family val="2"/>
      </rPr>
      <t xml:space="preserve">千本松牧場</t>
    </r>
    <r>
      <rPr>
        <sz val="9.5"/>
        <color rgb="FF1A1A1A"/>
        <rFont val="Meiryo"/>
        <family val="0"/>
        <charset val="1"/>
      </rPr>
      <t xml:space="preserve">PJ</t>
    </r>
    <r>
      <rPr>
        <sz val="9.5"/>
        <color rgb="FF1A1A1A"/>
        <rFont val="WenQuanYi Zen Hei"/>
        <family val="2"/>
      </rPr>
      <t xml:space="preserve">の</t>
    </r>
    <r>
      <rPr>
        <sz val="9.5"/>
        <color rgb="FF1A1A1A"/>
        <rFont val="Meiryo"/>
        <family val="0"/>
        <charset val="1"/>
      </rPr>
      <t xml:space="preserve">3</t>
    </r>
    <r>
      <rPr>
        <sz val="9.5"/>
        <color rgb="FF1A1A1A"/>
        <rFont val="WenQuanYi Zen Hei"/>
        <family val="2"/>
      </rPr>
      <t xml:space="preserve">件が成約。林内ベンチは追加依頼も入った。</t>
    </r>
  </si>
  <si>
    <r>
      <rPr>
        <sz val="9.5"/>
        <color rgb="FF1A1A1A"/>
        <rFont val="Meiryo"/>
        <family val="0"/>
        <charset val="1"/>
      </rPr>
      <t xml:space="preserve">6,334</t>
    </r>
    <r>
      <rPr>
        <sz val="9.5"/>
        <color rgb="FF1A1A1A"/>
        <rFont val="WenQuanYi Zen Hei"/>
        <family val="2"/>
      </rPr>
      <t xml:space="preserve">（④小サイン・林内ベンチ </t>
    </r>
    <r>
      <rPr>
        <sz val="9.5"/>
        <color rgb="FF1A1A1A"/>
        <rFont val="Meiryo"/>
        <family val="0"/>
        <charset val="1"/>
      </rPr>
      <t xml:space="preserve">3,000</t>
    </r>
    <r>
      <rPr>
        <sz val="9.5"/>
        <color rgb="FF1A1A1A"/>
        <rFont val="WenQuanYi Zen Hei"/>
        <family val="2"/>
      </rPr>
      <t xml:space="preserve">／⑤記念品 </t>
    </r>
    <r>
      <rPr>
        <sz val="9.5"/>
        <color rgb="FF1A1A1A"/>
        <rFont val="Meiryo"/>
        <family val="0"/>
        <charset val="1"/>
      </rPr>
      <t xml:space="preserve">1,950</t>
    </r>
    <r>
      <rPr>
        <sz val="9.5"/>
        <color rgb="FF1A1A1A"/>
        <rFont val="WenQuanYi Zen Hei"/>
        <family val="2"/>
      </rPr>
      <t xml:space="preserve">／ホウライ様予算ベンチ </t>
    </r>
    <r>
      <rPr>
        <sz val="9.5"/>
        <color rgb="FF1A1A1A"/>
        <rFont val="Meiryo"/>
        <family val="0"/>
        <charset val="1"/>
      </rPr>
      <t xml:space="preserve">1,384</t>
    </r>
    <r>
      <rPr>
        <sz val="9.5"/>
        <color rgb="FF1A1A1A"/>
        <rFont val="WenQuanYi Zen Hei"/>
        <family val="2"/>
      </rPr>
      <t xml:space="preserve">）＝</t>
    </r>
    <r>
      <rPr>
        <sz val="9.5"/>
        <color rgb="FF1A1A1A"/>
        <rFont val="Meiryo"/>
        <family val="0"/>
        <charset val="1"/>
      </rPr>
      <t xml:space="preserve">30.1%</t>
    </r>
    <r>
      <rPr>
        <sz val="9.5"/>
        <color rgb="FF1A1A1A"/>
        <rFont val="WenQuanYi Zen Hei"/>
        <family val="2"/>
      </rPr>
      <t xml:space="preserve">。粗利 </t>
    </r>
    <r>
      <rPr>
        <sz val="9.5"/>
        <color rgb="FF1A1A1A"/>
        <rFont val="Meiryo"/>
        <family val="0"/>
        <charset val="1"/>
      </rPr>
      <t xml:space="preserve">1,948</t>
    </r>
    <r>
      <rPr>
        <sz val="9.5"/>
        <color rgb="FF1A1A1A"/>
        <rFont val="WenQuanYi Zen Hei"/>
        <family val="2"/>
      </rPr>
      <t xml:space="preserve">・粗利率</t>
    </r>
    <r>
      <rPr>
        <sz val="9.5"/>
        <color rgb="FF1A1A1A"/>
        <rFont val="Meiryo"/>
        <family val="0"/>
        <charset val="1"/>
      </rPr>
      <t xml:space="preserve">30.8%</t>
    </r>
  </si>
  <si>
    <r>
      <rPr>
        <sz val="9.5"/>
        <color rgb="FF1A1A1A"/>
        <rFont val="WenQuanYi Zen Hei"/>
        <family val="2"/>
      </rPr>
      <t xml:space="preserve">うち</t>
    </r>
    <r>
      <rPr>
        <sz val="9.5"/>
        <color rgb="FF1A1A1A"/>
        <rFont val="Meiryo"/>
        <family val="0"/>
        <charset val="1"/>
      </rPr>
      <t xml:space="preserve">2</t>
    </r>
    <r>
      <rPr>
        <sz val="9.5"/>
        <color rgb="FF1A1A1A"/>
        <rFont val="WenQuanYi Zen Hei"/>
        <family val="2"/>
      </rPr>
      <t xml:space="preserve">件（</t>
    </r>
    <r>
      <rPr>
        <sz val="9.5"/>
        <color rgb="FF1A1A1A"/>
        <rFont val="Meiryo"/>
        <family val="0"/>
        <charset val="1"/>
      </rPr>
      <t xml:space="preserve">4,950</t>
    </r>
    <r>
      <rPr>
        <sz val="9.5"/>
        <color rgb="FF1A1A1A"/>
        <rFont val="WenQuanYi Zen Hei"/>
        <family val="2"/>
      </rPr>
      <t xml:space="preserve">）が「商談前営業」。</t>
    </r>
    <r>
      <rPr>
        <sz val="9.5"/>
        <color rgb="FF1A1A1A"/>
        <rFont val="Meiryo"/>
        <family val="0"/>
        <charset val="1"/>
      </rPr>
      <t xml:space="preserve">9</t>
    </r>
    <r>
      <rPr>
        <sz val="9.5"/>
        <color rgb="FF1A1A1A"/>
        <rFont val="WenQuanYi Zen Hei"/>
        <family val="2"/>
      </rPr>
      <t xml:space="preserve">月の商談前営業の実績はすべてここ。所有者は安達さん</t>
    </r>
  </si>
  <si>
    <t xml:space="preserve">素朴屋さん</t>
  </si>
  <si>
    <r>
      <rPr>
        <sz val="9.5"/>
        <color rgb="FF1A1A1A"/>
        <rFont val="WenQuanYi Zen Hei"/>
        <family val="2"/>
      </rPr>
      <t xml:space="preserve">年内の納品スケジュールが固まった。認証桧柾目材供給</t>
    </r>
    <r>
      <rPr>
        <sz val="9.5"/>
        <color rgb="FF1A1A1A"/>
        <rFont val="Meiryo"/>
        <family val="0"/>
        <charset val="1"/>
      </rPr>
      <t xml:space="preserve">PJ</t>
    </r>
    <r>
      <rPr>
        <sz val="9.5"/>
        <color rgb="FF1A1A1A"/>
        <rFont val="WenQuanYi Zen Hei"/>
        <family val="2"/>
      </rPr>
      <t xml:space="preserve">の</t>
    </r>
    <r>
      <rPr>
        <sz val="9.5"/>
        <color rgb="FF1A1A1A"/>
        <rFont val="Meiryo"/>
        <family val="0"/>
        <charset val="1"/>
      </rPr>
      <t xml:space="preserve">2</t>
    </r>
    <r>
      <rPr>
        <sz val="9.5"/>
        <color rgb="FF1A1A1A"/>
        <rFont val="WenQuanYi Zen Hei"/>
        <family val="2"/>
      </rPr>
      <t xml:space="preserve">回目を計上。</t>
    </r>
  </si>
  <si>
    <r>
      <rPr>
        <sz val="9.5"/>
        <color rgb="FF1A1A1A"/>
        <rFont val="Meiryo"/>
        <family val="0"/>
        <charset val="1"/>
      </rPr>
      <t xml:space="preserve">3,000</t>
    </r>
    <r>
      <rPr>
        <sz val="9.5"/>
        <color rgb="FF1A1A1A"/>
        <rFont val="WenQuanYi Zen Hei"/>
        <family val="2"/>
      </rPr>
      <t xml:space="preserve">（</t>
    </r>
    <r>
      <rPr>
        <sz val="9.5"/>
        <color rgb="FF1A1A1A"/>
        <rFont val="Meiryo"/>
        <family val="0"/>
        <charset val="1"/>
      </rPr>
      <t xml:space="preserve">2</t>
    </r>
    <r>
      <rPr>
        <sz val="9.5"/>
        <color rgb="FF1A1A1A"/>
        <rFont val="WenQuanYi Zen Hei"/>
        <family val="2"/>
      </rPr>
      <t xml:space="preserve">回目 </t>
    </r>
    <r>
      <rPr>
        <sz val="9.5"/>
        <color rgb="FF1A1A1A"/>
        <rFont val="Meiryo"/>
        <family val="0"/>
        <charset val="1"/>
      </rPr>
      <t xml:space="preserve">SGEC</t>
    </r>
    <r>
      <rPr>
        <sz val="9.5"/>
        <color rgb="FF1A1A1A"/>
        <rFont val="WenQuanYi Zen Hei"/>
        <family val="2"/>
      </rPr>
      <t xml:space="preserve">富士市）＝</t>
    </r>
    <r>
      <rPr>
        <sz val="9.5"/>
        <color rgb="FF1A1A1A"/>
        <rFont val="Meiryo"/>
        <family val="0"/>
        <charset val="1"/>
      </rPr>
      <t xml:space="preserve">14.3%</t>
    </r>
    <r>
      <rPr>
        <sz val="9.5"/>
        <color rgb="FF1A1A1A"/>
        <rFont val="WenQuanYi Zen Hei"/>
        <family val="2"/>
      </rPr>
      <t xml:space="preserve">。粗利 </t>
    </r>
    <r>
      <rPr>
        <sz val="9.5"/>
        <color rgb="FF1A1A1A"/>
        <rFont val="Meiryo"/>
        <family val="0"/>
        <charset val="1"/>
      </rPr>
      <t xml:space="preserve">580</t>
    </r>
    <r>
      <rPr>
        <sz val="9.5"/>
        <color rgb="FF1A1A1A"/>
        <rFont val="WenQuanYi Zen Hei"/>
        <family val="2"/>
      </rPr>
      <t xml:space="preserve">・粗利率</t>
    </r>
    <r>
      <rPr>
        <sz val="9.5"/>
        <color rgb="FF1A1A1A"/>
        <rFont val="Meiryo"/>
        <family val="0"/>
        <charset val="1"/>
      </rPr>
      <t xml:space="preserve">19.3%</t>
    </r>
  </si>
  <si>
    <r>
      <rPr>
        <sz val="9.5"/>
        <color rgb="FF1A1A1A"/>
        <rFont val="Meiryo"/>
        <family val="0"/>
        <charset val="1"/>
      </rPr>
      <t xml:space="preserve">1</t>
    </r>
    <r>
      <rPr>
        <sz val="9.5"/>
        <color rgb="FF1A1A1A"/>
        <rFont val="WenQuanYi Zen Hei"/>
        <family val="2"/>
      </rPr>
      <t xml:space="preserve">回目は</t>
    </r>
    <r>
      <rPr>
        <sz val="9.5"/>
        <color rgb="FF1A1A1A"/>
        <rFont val="Meiryo"/>
        <family val="0"/>
        <charset val="1"/>
      </rPr>
      <t xml:space="preserve">6</t>
    </r>
    <r>
      <rPr>
        <sz val="9.5"/>
        <color rgb="FF1A1A1A"/>
        <rFont val="WenQuanYi Zen Hei"/>
        <family val="2"/>
      </rPr>
      <t xml:space="preserve">月に</t>
    </r>
    <r>
      <rPr>
        <sz val="9.5"/>
        <color rgb="FF1A1A1A"/>
        <rFont val="Meiryo"/>
        <family val="0"/>
        <charset val="1"/>
      </rPr>
      <t xml:space="preserve">8,095</t>
    </r>
    <r>
      <rPr>
        <sz val="9.5"/>
        <color rgb="FF1A1A1A"/>
        <rFont val="WenQuanYi Zen Hei"/>
        <family val="2"/>
      </rPr>
      <t xml:space="preserve">を計上済み。上期で</t>
    </r>
    <r>
      <rPr>
        <sz val="9.5"/>
        <color rgb="FF1A1A1A"/>
        <rFont val="Meiryo"/>
        <family val="0"/>
        <charset val="1"/>
      </rPr>
      <t xml:space="preserve">2</t>
    </r>
    <r>
      <rPr>
        <sz val="9.5"/>
        <color rgb="FF1A1A1A"/>
        <rFont val="WenQuanYi Zen Hei"/>
        <family val="2"/>
      </rPr>
      <t xml:space="preserve">件・</t>
    </r>
    <r>
      <rPr>
        <sz val="9.5"/>
        <color rgb="FF1A1A1A"/>
        <rFont val="Meiryo"/>
        <family val="0"/>
        <charset val="1"/>
      </rPr>
      <t xml:space="preserve">11,095</t>
    </r>
    <r>
      <rPr>
        <sz val="9.5"/>
        <color rgb="FF1A1A1A"/>
        <rFont val="WenQuanYi Zen Hei"/>
        <family val="2"/>
      </rPr>
      <t xml:space="preserve">。所有者は落合さん</t>
    </r>
  </si>
  <si>
    <r>
      <rPr>
        <b val="true"/>
        <sz val="9.5"/>
        <color rgb="FF2C5F2D"/>
        <rFont val="Meiryo"/>
        <family val="0"/>
        <charset val="1"/>
      </rPr>
      <t xml:space="preserve">CUE</t>
    </r>
    <r>
      <rPr>
        <b val="true"/>
        <sz val="9.5"/>
        <color rgb="FF2C5F2D"/>
        <rFont val="WenQuanYi Zen Hei"/>
        <family val="2"/>
      </rPr>
      <t xml:space="preserve">さん</t>
    </r>
  </si>
  <si>
    <r>
      <rPr>
        <sz val="9.5"/>
        <color rgb="FF1A1A1A"/>
        <rFont val="WenQuanYi Zen Hei"/>
        <family val="2"/>
      </rPr>
      <t xml:space="preserve">イベント什器を</t>
    </r>
    <r>
      <rPr>
        <sz val="9.5"/>
        <color rgb="FF1A1A1A"/>
        <rFont val="Meiryo"/>
        <family val="0"/>
        <charset val="1"/>
      </rPr>
      <t xml:space="preserve">9/30</t>
    </r>
    <r>
      <rPr>
        <sz val="9.5"/>
        <color rgb="FF1A1A1A"/>
        <rFont val="WenQuanYi Zen Hei"/>
        <family val="2"/>
      </rPr>
      <t xml:space="preserve">に成約。</t>
    </r>
  </si>
  <si>
    <r>
      <rPr>
        <sz val="9.5"/>
        <color rgb="FF1A1A1A"/>
        <rFont val="Meiryo"/>
        <family val="0"/>
        <charset val="1"/>
      </rPr>
      <t xml:space="preserve">1,475</t>
    </r>
    <r>
      <rPr>
        <sz val="9.5"/>
        <color rgb="FF1A1A1A"/>
        <rFont val="WenQuanYi Zen Hei"/>
        <family val="2"/>
      </rPr>
      <t xml:space="preserve">＝</t>
    </r>
    <r>
      <rPr>
        <sz val="9.5"/>
        <color rgb="FF1A1A1A"/>
        <rFont val="Meiryo"/>
        <family val="0"/>
        <charset val="1"/>
      </rPr>
      <t xml:space="preserve">7.0%</t>
    </r>
    <r>
      <rPr>
        <sz val="9.5"/>
        <color rgb="FF1A1A1A"/>
        <rFont val="WenQuanYi Zen Hei"/>
        <family val="2"/>
      </rPr>
      <t xml:space="preserve">。粗利 </t>
    </r>
    <r>
      <rPr>
        <sz val="9.5"/>
        <color rgb="FF1A1A1A"/>
        <rFont val="Meiryo"/>
        <family val="0"/>
        <charset val="1"/>
      </rPr>
      <t xml:space="preserve">459</t>
    </r>
    <r>
      <rPr>
        <sz val="9.5"/>
        <color rgb="FF1A1A1A"/>
        <rFont val="WenQuanYi Zen Hei"/>
        <family val="2"/>
      </rPr>
      <t xml:space="preserve">・粗利率</t>
    </r>
    <r>
      <rPr>
        <sz val="9.5"/>
        <color rgb="FF1A1A1A"/>
        <rFont val="Meiryo"/>
        <family val="0"/>
        <charset val="1"/>
      </rPr>
      <t xml:space="preserve">31.1%</t>
    </r>
  </si>
  <si>
    <t xml:space="preserve">きっかけは「取引先リピート」。所有者は落合さん</t>
  </si>
  <si>
    <t xml:space="preserve">内閣府 檜板</t>
  </si>
  <si>
    <r>
      <rPr>
        <sz val="9.5"/>
        <color rgb="FF1A1A1A"/>
        <rFont val="Meiryo"/>
        <family val="0"/>
        <charset val="1"/>
      </rPr>
      <t xml:space="preserve">9/28</t>
    </r>
    <r>
      <rPr>
        <sz val="9.5"/>
        <color rgb="FF1A1A1A"/>
        <rFont val="WenQuanYi Zen Hei"/>
        <family val="2"/>
      </rPr>
      <t xml:space="preserve">に成約。取引先は株式会社ゼロワン。</t>
    </r>
  </si>
  <si>
    <r>
      <rPr>
        <sz val="9.5"/>
        <color rgb="FF1A1A1A"/>
        <rFont val="Meiryo"/>
        <family val="0"/>
        <charset val="1"/>
      </rPr>
      <t xml:space="preserve">149</t>
    </r>
    <r>
      <rPr>
        <sz val="9.5"/>
        <color rgb="FF1A1A1A"/>
        <rFont val="WenQuanYi Zen Hei"/>
        <family val="2"/>
      </rPr>
      <t xml:space="preserve">＝</t>
    </r>
    <r>
      <rPr>
        <sz val="9.5"/>
        <color rgb="FF1A1A1A"/>
        <rFont val="Meiryo"/>
        <family val="0"/>
        <charset val="1"/>
      </rPr>
      <t xml:space="preserve">0.7%</t>
    </r>
    <r>
      <rPr>
        <sz val="9.5"/>
        <color rgb="FF1A1A1A"/>
        <rFont val="WenQuanYi Zen Hei"/>
        <family val="2"/>
      </rPr>
      <t xml:space="preserve">。粗利 </t>
    </r>
    <r>
      <rPr>
        <sz val="9.5"/>
        <color rgb="FF1A1A1A"/>
        <rFont val="Meiryo"/>
        <family val="0"/>
        <charset val="1"/>
      </rPr>
      <t xml:space="preserve">56</t>
    </r>
    <r>
      <rPr>
        <sz val="9.5"/>
        <color rgb="FF1A1A1A"/>
        <rFont val="WenQuanYi Zen Hei"/>
        <family val="2"/>
      </rPr>
      <t xml:space="preserve">・粗利率</t>
    </r>
    <r>
      <rPr>
        <sz val="9.5"/>
        <color rgb="FF1A1A1A"/>
        <rFont val="Meiryo"/>
        <family val="0"/>
        <charset val="1"/>
      </rPr>
      <t xml:space="preserve">37.6%</t>
    </r>
  </si>
  <si>
    <t xml:space="preserve">金額は小さいが実績として使える。同種案件の横展開先を探す</t>
  </si>
  <si>
    <r>
      <rPr>
        <b val="true"/>
        <sz val="10"/>
        <color rgb="FFC87941"/>
        <rFont val="Meiryo"/>
        <family val="0"/>
        <charset val="1"/>
      </rPr>
      <t xml:space="preserve">ATONA</t>
    </r>
    <r>
      <rPr>
        <b val="true"/>
        <sz val="10"/>
        <color rgb="FFC87941"/>
        <rFont val="WenQuanYi Zen Hei"/>
        <family val="2"/>
      </rPr>
      <t xml:space="preserve">・ホウライ・素朴屋・</t>
    </r>
    <r>
      <rPr>
        <b val="true"/>
        <sz val="10"/>
        <color rgb="FFC87941"/>
        <rFont val="Meiryo"/>
        <family val="0"/>
        <charset val="1"/>
      </rPr>
      <t xml:space="preserve">CUE</t>
    </r>
    <r>
      <rPr>
        <b val="true"/>
        <sz val="10"/>
        <color rgb="FFC87941"/>
        <rFont val="WenQuanYi Zen Hei"/>
        <family val="2"/>
      </rPr>
      <t xml:space="preserve">・内閣府の</t>
    </r>
    <r>
      <rPr>
        <b val="true"/>
        <sz val="10"/>
        <color rgb="FFC87941"/>
        <rFont val="Meiryo"/>
        <family val="0"/>
        <charset val="1"/>
      </rPr>
      <t xml:space="preserve">5</t>
    </r>
    <r>
      <rPr>
        <b val="true"/>
        <sz val="10"/>
        <color rgb="FFC87941"/>
        <rFont val="WenQuanYi Zen Hei"/>
        <family val="2"/>
      </rPr>
      <t xml:space="preserve">件で</t>
    </r>
    <r>
      <rPr>
        <b val="true"/>
        <sz val="10"/>
        <color rgb="FFC87941"/>
        <rFont val="Meiryo"/>
        <family val="0"/>
        <charset val="1"/>
      </rPr>
      <t xml:space="preserve">9</t>
    </r>
    <r>
      <rPr>
        <b val="true"/>
        <sz val="10"/>
        <color rgb="FFC87941"/>
        <rFont val="WenQuanYi Zen Hei"/>
        <family val="2"/>
      </rPr>
      <t xml:space="preserve">月実績の</t>
    </r>
    <r>
      <rPr>
        <b val="true"/>
        <sz val="10"/>
        <color rgb="FFC87941"/>
        <rFont val="Meiryo"/>
        <family val="0"/>
        <charset val="1"/>
      </rPr>
      <t xml:space="preserve">92.4%</t>
    </r>
    <r>
      <rPr>
        <b val="true"/>
        <sz val="10"/>
        <color rgb="FFC87941"/>
        <rFont val="WenQuanYi Zen Hei"/>
        <family val="2"/>
      </rPr>
      <t xml:space="preserve">（</t>
    </r>
    <r>
      <rPr>
        <b val="true"/>
        <sz val="10"/>
        <color rgb="FFC87941"/>
        <rFont val="Meiryo"/>
        <family val="0"/>
        <charset val="1"/>
      </rPr>
      <t xml:space="preserve">19,438</t>
    </r>
    <r>
      <rPr>
        <b val="true"/>
        <sz val="10"/>
        <color rgb="FFC87941"/>
        <rFont val="WenQuanYi Zen Hei"/>
        <family val="2"/>
      </rPr>
      <t xml:space="preserve">／</t>
    </r>
    <r>
      <rPr>
        <b val="true"/>
        <sz val="10"/>
        <color rgb="FFC87941"/>
        <rFont val="Meiryo"/>
        <family val="0"/>
        <charset val="1"/>
      </rPr>
      <t xml:space="preserve">21,044</t>
    </r>
    <r>
      <rPr>
        <b val="true"/>
        <sz val="10"/>
        <color rgb="FFC87941"/>
        <rFont val="WenQuanYi Zen Hei"/>
        <family val="2"/>
      </rPr>
      <t xml:space="preserve">）。残り</t>
    </r>
    <r>
      <rPr>
        <b val="true"/>
        <sz val="10"/>
        <color rgb="FFC87941"/>
        <rFont val="Meiryo"/>
        <family val="0"/>
        <charset val="1"/>
      </rPr>
      <t xml:space="preserve">14</t>
    </r>
    <r>
      <rPr>
        <b val="true"/>
        <sz val="10"/>
        <color rgb="FFC87941"/>
        <rFont val="WenQuanYi Zen Hei"/>
        <family val="2"/>
      </rPr>
      <t xml:space="preserve">件は合計</t>
    </r>
    <r>
      <rPr>
        <b val="true"/>
        <sz val="10"/>
        <color rgb="FFC87941"/>
        <rFont val="Meiryo"/>
        <family val="0"/>
        <charset val="1"/>
      </rPr>
      <t xml:space="preserve">1,606</t>
    </r>
    <r>
      <rPr>
        <b val="true"/>
        <sz val="10"/>
        <color rgb="FFC87941"/>
        <rFont val="WenQuanYi Zen Hei"/>
        <family val="2"/>
      </rPr>
      <t xml:space="preserve">です。</t>
    </r>
  </si>
  <si>
    <r>
      <rPr>
        <b val="true"/>
        <sz val="10"/>
        <color rgb="FFB04A3C"/>
        <rFont val="WenQuanYi Zen Hei"/>
        <family val="2"/>
      </rPr>
      <t xml:space="preserve">リリカラさんのコンペはこのレポートに実績として出てきません。結果にかかわらず</t>
    </r>
    <r>
      <rPr>
        <b val="true"/>
        <sz val="10"/>
        <color rgb="FFB04A3C"/>
        <rFont val="Meiryo"/>
        <family val="0"/>
        <charset val="1"/>
      </rPr>
      <t xml:space="preserve">SF</t>
    </r>
    <r>
      <rPr>
        <b val="true"/>
        <sz val="10"/>
        <color rgb="FFB04A3C"/>
        <rFont val="WenQuanYi Zen Hei"/>
        <family val="2"/>
      </rPr>
      <t xml:space="preserve">に起票しないと、動いた事実が数字に残りません。</t>
    </r>
  </si>
  <si>
    <r>
      <rPr>
        <b val="true"/>
        <sz val="13"/>
        <color rgb="FF2C5F2D"/>
        <rFont val="Meiryo"/>
        <family val="0"/>
        <charset val="1"/>
      </rPr>
      <t xml:space="preserve">9</t>
    </r>
    <r>
      <rPr>
        <b val="true"/>
        <sz val="13"/>
        <color rgb="FF2C5F2D"/>
        <rFont val="WenQuanYi Zen Hei"/>
        <family val="2"/>
      </rPr>
      <t xml:space="preserve">月の成約実績（</t>
    </r>
    <r>
      <rPr>
        <b val="true"/>
        <sz val="13"/>
        <color rgb="FF2C5F2D"/>
        <rFont val="Meiryo"/>
        <family val="0"/>
        <charset val="1"/>
      </rPr>
      <t xml:space="preserve">19</t>
    </r>
    <r>
      <rPr>
        <b val="true"/>
        <sz val="13"/>
        <color rgb="FF2C5F2D"/>
        <rFont val="WenQuanYi Zen Hei"/>
        <family val="2"/>
      </rPr>
      <t xml:space="preserve">件）</t>
    </r>
  </si>
  <si>
    <r>
      <rPr>
        <sz val="9"/>
        <color rgb="FF767676"/>
        <rFont val="WenQuanYi Zen Hei"/>
        <family val="2"/>
      </rPr>
      <t xml:space="preserve">完了予定日が</t>
    </r>
    <r>
      <rPr>
        <sz val="9"/>
        <color rgb="FF767676"/>
        <rFont val="Meiryo"/>
        <family val="0"/>
        <charset val="1"/>
      </rPr>
      <t xml:space="preserve">2026/09/01</t>
    </r>
    <r>
      <rPr>
        <sz val="9"/>
        <color rgb="FF767676"/>
        <rFont val="WenQuanYi Zen Hei"/>
        <family val="2"/>
      </rPr>
      <t xml:space="preserve">〜</t>
    </r>
    <r>
      <rPr>
        <sz val="9"/>
        <color rgb="FF767676"/>
        <rFont val="Meiryo"/>
        <family val="0"/>
        <charset val="1"/>
      </rPr>
      <t xml:space="preserve">09/30</t>
    </r>
    <r>
      <rPr>
        <sz val="9"/>
        <color rgb="FF767676"/>
        <rFont val="WenQuanYi Zen Hei"/>
        <family val="2"/>
      </rPr>
      <t xml:space="preserve">、フェーズ</t>
    </r>
    <r>
      <rPr>
        <sz val="9"/>
        <color rgb="FF767676"/>
        <rFont val="Meiryo"/>
        <family val="0"/>
        <charset val="1"/>
      </rPr>
      <t xml:space="preserve">07.</t>
    </r>
    <r>
      <rPr>
        <sz val="9"/>
        <color rgb="FF767676"/>
        <rFont val="WenQuanYi Zen Hei"/>
        <family val="2"/>
      </rPr>
      <t xml:space="preserve">成約。単位：千円。</t>
    </r>
  </si>
  <si>
    <t xml:space="preserve">取引先</t>
  </si>
  <si>
    <t xml:space="preserve">商談名</t>
  </si>
  <si>
    <t xml:space="preserve">金額</t>
  </si>
  <si>
    <t xml:space="preserve">商談所有者</t>
  </si>
  <si>
    <t xml:space="preserve">商談のきっかけ</t>
  </si>
  <si>
    <t xml:space="preserve">レコードタイプ</t>
  </si>
  <si>
    <t xml:space="preserve">株式会社乃村工藝社</t>
  </si>
  <si>
    <r>
      <rPr>
        <sz val="10"/>
        <rFont val="Meiryo"/>
        <family val="0"/>
        <charset val="1"/>
      </rPr>
      <t xml:space="preserve">ATONA_</t>
    </r>
    <r>
      <rPr>
        <sz val="10"/>
        <rFont val="WenQuanYi Zen Hei"/>
        <family val="2"/>
      </rPr>
      <t xml:space="preserve">京都</t>
    </r>
    <r>
      <rPr>
        <sz val="10"/>
        <rFont val="Meiryo"/>
        <family val="0"/>
        <charset val="1"/>
      </rPr>
      <t xml:space="preserve">_FFE</t>
    </r>
  </si>
  <si>
    <t xml:space="preserve">片岡 雅貴</t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</si>
  <si>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営業</t>
    </r>
    <r>
      <rPr>
        <sz val="10"/>
        <rFont val="Meiryo"/>
        <family val="0"/>
        <charset val="1"/>
      </rPr>
      <t xml:space="preserve">G(</t>
    </r>
    <r>
      <rPr>
        <sz val="10"/>
        <rFont val="WenQuanYi Zen Hei"/>
        <family val="2"/>
      </rPr>
      <t xml:space="preserve">リピート</t>
    </r>
    <r>
      <rPr>
        <sz val="10"/>
        <rFont val="Meiryo"/>
        <family val="0"/>
        <charset val="1"/>
      </rPr>
      <t xml:space="preserve">)</t>
    </r>
  </si>
  <si>
    <t xml:space="preserve">木材コーディネート</t>
  </si>
  <si>
    <t xml:space="preserve">素朴屋株式会社</t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</si>
  <si>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PJ_2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(SGEC</t>
    </r>
    <r>
      <rPr>
        <sz val="10"/>
        <rFont val="WenQuanYi Zen Hei"/>
        <family val="2"/>
      </rPr>
      <t xml:space="preserve">富士市</t>
    </r>
    <r>
      <rPr>
        <sz val="10"/>
        <rFont val="Meiryo"/>
        <family val="0"/>
        <charset val="1"/>
      </rPr>
      <t xml:space="preserve">)</t>
    </r>
  </si>
  <si>
    <t xml:space="preserve">落合 あゆみ</t>
  </si>
  <si>
    <r>
      <rPr>
        <sz val="10"/>
        <rFont val="WenQuanYi Zen Hei"/>
        <family val="2"/>
      </rPr>
      <t xml:space="preserve">顧客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取引先リピート</t>
    </r>
  </si>
  <si>
    <t xml:space="preserve">ホウライ株式会社</t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</si>
  <si>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PJ_④</t>
    </r>
    <r>
      <rPr>
        <sz val="10"/>
        <rFont val="WenQuanYi Zen Hei"/>
        <family val="2"/>
      </rPr>
      <t xml:space="preserve">小サイン・林内ベンチ製造</t>
    </r>
  </si>
  <si>
    <t xml:space="preserve">安達 芳樹</t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</si>
  <si>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商談前営業</t>
    </r>
  </si>
  <si>
    <r>
      <rPr>
        <sz val="10"/>
        <rFont val="Meiryo"/>
        <family val="0"/>
        <charset val="1"/>
      </rPr>
      <t xml:space="preserve">ATONA_</t>
    </r>
    <r>
      <rPr>
        <sz val="10"/>
        <rFont val="WenQuanYi Zen Hei"/>
        <family val="2"/>
      </rPr>
      <t xml:space="preserve">京都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内装突板</t>
    </r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</si>
  <si>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PJ_⑤</t>
    </r>
    <r>
      <rPr>
        <sz val="10"/>
        <rFont val="WenQuanYi Zen Hei"/>
        <family val="2"/>
      </rPr>
      <t xml:space="preserve">記念品製造／バードコール＆写真フレーム</t>
    </r>
  </si>
  <si>
    <r>
      <rPr>
        <sz val="10"/>
        <rFont val="Meiryo"/>
        <family val="0"/>
        <charset val="1"/>
      </rPr>
      <t xml:space="preserve">CUE</t>
    </r>
    <r>
      <rPr>
        <sz val="10"/>
        <rFont val="WenQuanYi Zen Hei"/>
        <family val="2"/>
      </rPr>
      <t xml:space="preserve">株式会社</t>
    </r>
  </si>
  <si>
    <t xml:space="preserve">イベント什器製作</t>
  </si>
  <si>
    <r>
      <rPr>
        <sz val="10"/>
        <rFont val="WenQuanYi Zen Hei"/>
        <family val="2"/>
      </rPr>
      <t xml:space="preserve">ホウライ様予算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</t>
    </r>
    <r>
      <rPr>
        <sz val="10"/>
        <rFont val="WenQuanYi Zen Hei"/>
        <family val="2"/>
      </rPr>
      <t xml:space="preserve">林内ベンチ製造</t>
    </r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</si>
  <si>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ADX</t>
    </r>
  </si>
  <si>
    <r>
      <rPr>
        <sz val="10"/>
        <rFont val="Meiryo"/>
        <family val="0"/>
        <charset val="1"/>
      </rPr>
      <t xml:space="preserve">CLT</t>
    </r>
    <r>
      <rPr>
        <sz val="10"/>
        <rFont val="WenQuanYi Zen Hei"/>
        <family val="2"/>
      </rPr>
      <t xml:space="preserve">試験材</t>
    </r>
  </si>
  <si>
    <t xml:space="preserve">恒冨 春香</t>
  </si>
  <si>
    <t xml:space="preserve">建築案件</t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</si>
  <si>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補修</t>
    </r>
    <r>
      <rPr>
        <sz val="10"/>
        <rFont val="Meiryo"/>
        <family val="0"/>
        <charset val="1"/>
      </rPr>
      <t xml:space="preserve">_9</t>
    </r>
    <r>
      <rPr>
        <sz val="10"/>
        <rFont val="WenQuanYi Zen Hei"/>
        <family val="2"/>
      </rPr>
      <t xml:space="preserve">月</t>
    </r>
  </si>
  <si>
    <t xml:space="preserve">追加受注</t>
  </si>
  <si>
    <t xml:space="preserve">株式会社アースボート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</si>
  <si>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Ver.3</t>
    </r>
    <r>
      <rPr>
        <sz val="10"/>
        <rFont val="WenQuanYi Zen Hei"/>
        <family val="2"/>
      </rPr>
      <t xml:space="preserve">行先未定（本体棟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台＋寝室棟４台）②（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月度）</t>
    </r>
  </si>
  <si>
    <t xml:space="preserve">OEM</t>
  </si>
  <si>
    <t xml:space="preserve">ラルフローレン合同会社</t>
  </si>
  <si>
    <r>
      <rPr>
        <sz val="10"/>
        <rFont val="WenQuanYi Zen Hei"/>
        <family val="2"/>
      </rPr>
      <t xml:space="preserve">水戸京成</t>
    </r>
    <r>
      <rPr>
        <sz val="10"/>
        <rFont val="Meiryo"/>
        <family val="0"/>
        <charset val="1"/>
      </rPr>
      <t xml:space="preserve">RLC</t>
    </r>
  </si>
  <si>
    <t xml:space="preserve">株式会社丹青社</t>
  </si>
  <si>
    <r>
      <rPr>
        <sz val="10"/>
        <rFont val="WenQuanYi Zen Hei"/>
        <family val="2"/>
      </rPr>
      <t xml:space="preserve">ロイヤル</t>
    </r>
    <r>
      <rPr>
        <sz val="10"/>
        <rFont val="Meiryo"/>
        <family val="0"/>
        <charset val="1"/>
      </rPr>
      <t xml:space="preserve">HD</t>
    </r>
    <r>
      <rPr>
        <sz val="10"/>
        <rFont val="WenQuanYi Zen Hei"/>
        <family val="2"/>
      </rPr>
      <t xml:space="preserve">本社工場直販店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福岡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既存樹活用（引上げ・製材・乾燥）</t>
    </r>
  </si>
  <si>
    <t xml:space="preserve">株式会社ゼロワン</t>
  </si>
  <si>
    <r>
      <rPr>
        <sz val="10"/>
        <rFont val="WenQuanYi Zen Hei"/>
        <family val="2"/>
      </rPr>
      <t xml:space="preserve">内閣府用木札</t>
    </r>
    <r>
      <rPr>
        <sz val="10"/>
        <rFont val="Meiryo"/>
        <family val="0"/>
        <charset val="1"/>
      </rPr>
      <t xml:space="preserve">_2026</t>
    </r>
  </si>
  <si>
    <t xml:space="preserve">株式会社ノムラメディアス</t>
  </si>
  <si>
    <r>
      <rPr>
        <sz val="10"/>
        <rFont val="WenQuanYi Zen Hei"/>
        <family val="2"/>
      </rPr>
      <t xml:space="preserve">スターバックスロースタリー中目黒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プライスカード立て</t>
    </r>
  </si>
  <si>
    <t xml:space="preserve">五江渕啓太</t>
  </si>
  <si>
    <r>
      <rPr>
        <sz val="10"/>
        <rFont val="WenQuanYi Zen Hei"/>
        <family val="2"/>
      </rPr>
      <t xml:space="preserve">味の素本社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レストランフロア壁面オブジェ（追加作業）</t>
    </r>
  </si>
  <si>
    <t xml:space="preserve">株式会社フォーユー建装</t>
  </si>
  <si>
    <t xml:space="preserve">ウッドチップ</t>
  </si>
  <si>
    <t xml:space="preserve">株式会社太閤</t>
  </si>
  <si>
    <r>
      <rPr>
        <sz val="10"/>
        <rFont val="WenQuanYi Zen Hei"/>
        <family val="2"/>
      </rPr>
      <t xml:space="preserve">太閤向け</t>
    </r>
    <r>
      <rPr>
        <sz val="10"/>
        <rFont val="Meiryo"/>
        <family val="0"/>
        <charset val="1"/>
      </rPr>
      <t xml:space="preserve">FSC</t>
    </r>
    <r>
      <rPr>
        <sz val="10"/>
        <rFont val="WenQuanYi Zen Hei"/>
        <family val="2"/>
      </rPr>
      <t xml:space="preserve">ポプラ</t>
    </r>
    <r>
      <rPr>
        <sz val="10"/>
        <rFont val="Meiryo"/>
        <family val="0"/>
        <charset val="1"/>
      </rPr>
      <t xml:space="preserve">LVL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45x30x4000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260917</t>
    </r>
  </si>
  <si>
    <r>
      <rPr>
        <sz val="10"/>
        <rFont val="WenQuanYi Zen Hei"/>
        <family val="2"/>
      </rPr>
      <t xml:space="preserve">日建設計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乃村工藝社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間伐材利用某サーキュラー案件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試作用</t>
    </r>
    <r>
      <rPr>
        <sz val="10"/>
        <rFont val="Meiryo"/>
        <family val="0"/>
        <charset val="1"/>
      </rPr>
      <t xml:space="preserve">eco</t>
    </r>
    <r>
      <rPr>
        <sz val="10"/>
        <rFont val="WenQuanYi Zen Hei"/>
        <family val="2"/>
      </rPr>
      <t xml:space="preserve">シラ合板</t>
    </r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</si>
  <si>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営業</t>
    </r>
    <r>
      <rPr>
        <sz val="10"/>
        <rFont val="Meiryo"/>
        <family val="0"/>
        <charset val="1"/>
      </rPr>
      <t xml:space="preserve">G(</t>
    </r>
    <r>
      <rPr>
        <sz val="10"/>
        <rFont val="WenQuanYi Zen Hei"/>
        <family val="2"/>
      </rPr>
      <t xml:space="preserve">新規</t>
    </r>
    <r>
      <rPr>
        <sz val="10"/>
        <rFont val="Meiryo"/>
        <family val="0"/>
        <charset val="1"/>
      </rPr>
      <t xml:space="preserve">)</t>
    </r>
  </si>
  <si>
    <t xml:space="preserve">株式会社プレイブ</t>
  </si>
  <si>
    <t xml:space="preserve">藍建材サンプル</t>
  </si>
  <si>
    <t xml:space="preserve">森口 大世</t>
  </si>
  <si>
    <r>
      <rPr>
        <sz val="10"/>
        <rFont val="WenQuanYi Zen Hei"/>
        <family val="2"/>
      </rPr>
      <t xml:space="preserve">顧客</t>
    </r>
    <r>
      <rPr>
        <sz val="10"/>
        <rFont val="Meiryo"/>
        <family val="0"/>
        <charset val="1"/>
      </rPr>
      <t xml:space="preserve">/eTREE</t>
    </r>
    <r>
      <rPr>
        <sz val="10"/>
        <rFont val="WenQuanYi Zen Hei"/>
        <family val="2"/>
      </rPr>
      <t xml:space="preserve">・入電</t>
    </r>
  </si>
  <si>
    <r>
      <rPr>
        <b val="true"/>
        <sz val="13"/>
        <color rgb="FF2C5F2D"/>
        <rFont val="WenQuanYi Zen Hei"/>
        <family val="2"/>
      </rPr>
      <t xml:space="preserve">月別の成約実績（</t>
    </r>
    <r>
      <rPr>
        <b val="true"/>
        <sz val="13"/>
        <color rgb="FF2C5F2D"/>
        <rFont val="Meiryo"/>
        <family val="0"/>
        <charset val="1"/>
      </rPr>
      <t xml:space="preserve">26</t>
    </r>
    <r>
      <rPr>
        <b val="true"/>
        <sz val="13"/>
        <color rgb="FF2C5F2D"/>
        <rFont val="WenQuanYi Zen Hei"/>
        <family val="2"/>
      </rPr>
      <t xml:space="preserve">年度 上期）</t>
    </r>
  </si>
  <si>
    <r>
      <rPr>
        <sz val="9"/>
        <color rgb="FF767676"/>
        <rFont val="WenQuanYi Zen Hei"/>
        <family val="2"/>
      </rPr>
      <t xml:space="preserve">完了予定日ベース。フェーズ</t>
    </r>
    <r>
      <rPr>
        <sz val="9"/>
        <color rgb="FF767676"/>
        <rFont val="Meiryo"/>
        <family val="0"/>
        <charset val="1"/>
      </rPr>
      <t xml:space="preserve">07.</t>
    </r>
    <r>
      <rPr>
        <sz val="9"/>
        <color rgb="FF767676"/>
        <rFont val="WenQuanYi Zen Hei"/>
        <family val="2"/>
      </rPr>
      <t xml:space="preserve">成約・失注除外。単位：千円。</t>
    </r>
  </si>
  <si>
    <t xml:space="preserve">月</t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</si>
  <si>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04</t>
    </r>
    <r>
      <rPr>
        <sz val="10"/>
        <rFont val="WenQuanYi Zen Hei"/>
        <family val="2"/>
      </rPr>
      <t xml:space="preserve">月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</si>
  <si>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05</t>
    </r>
    <r>
      <rPr>
        <sz val="10"/>
        <rFont val="WenQuanYi Zen Hei"/>
        <family val="2"/>
      </rPr>
      <t xml:space="preserve">月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</si>
  <si>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06</t>
    </r>
    <r>
      <rPr>
        <sz val="10"/>
        <rFont val="WenQuanYi Zen Hei"/>
        <family val="2"/>
      </rPr>
      <t xml:space="preserve">月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</si>
  <si>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月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</si>
  <si>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08</t>
    </r>
    <r>
      <rPr>
        <sz val="10"/>
        <rFont val="WenQuanYi Zen Hei"/>
        <family val="2"/>
      </rPr>
      <t xml:space="preserve">月</t>
    </r>
  </si>
  <si>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09</t>
    </r>
    <r>
      <rPr>
        <sz val="10"/>
        <rFont val="WenQuanYi Zen Hei"/>
        <family val="2"/>
      </rPr>
      <t xml:space="preserve">月</t>
    </r>
  </si>
  <si>
    <r>
      <rPr>
        <b val="true"/>
        <sz val="13"/>
        <color rgb="FF2C5F2D"/>
        <rFont val="Meiryo"/>
        <family val="0"/>
        <charset val="1"/>
      </rPr>
      <t xml:space="preserve">26</t>
    </r>
    <r>
      <rPr>
        <b val="true"/>
        <sz val="13"/>
        <color rgb="FF2C5F2D"/>
        <rFont val="WenQuanYi Zen Hei"/>
        <family val="2"/>
      </rPr>
      <t xml:space="preserve">年度 上期の成約実績（</t>
    </r>
    <r>
      <rPr>
        <b val="true"/>
        <sz val="13"/>
        <color rgb="FF2C5F2D"/>
        <rFont val="Meiryo"/>
        <family val="0"/>
        <charset val="1"/>
      </rPr>
      <t xml:space="preserve">117</t>
    </r>
    <r>
      <rPr>
        <b val="true"/>
        <sz val="13"/>
        <color rgb="FF2C5F2D"/>
        <rFont val="WenQuanYi Zen Hei"/>
        <family val="2"/>
      </rPr>
      <t xml:space="preserve">件）</t>
    </r>
  </si>
  <si>
    <r>
      <rPr>
        <sz val="9"/>
        <color rgb="FF767676"/>
        <rFont val="WenQuanYi Zen Hei"/>
        <family val="2"/>
      </rPr>
      <t xml:space="preserve">完了予定日が</t>
    </r>
    <r>
      <rPr>
        <sz val="9"/>
        <color rgb="FF767676"/>
        <rFont val="Meiryo"/>
        <family val="0"/>
        <charset val="1"/>
      </rPr>
      <t xml:space="preserve">2026/04/01</t>
    </r>
    <r>
      <rPr>
        <sz val="9"/>
        <color rgb="FF767676"/>
        <rFont val="WenQuanYi Zen Hei"/>
        <family val="2"/>
      </rPr>
      <t xml:space="preserve">〜</t>
    </r>
    <r>
      <rPr>
        <sz val="9"/>
        <color rgb="FF767676"/>
        <rFont val="Meiryo"/>
        <family val="0"/>
        <charset val="1"/>
      </rPr>
      <t xml:space="preserve">09/30</t>
    </r>
    <r>
      <rPr>
        <sz val="9"/>
        <color rgb="FF767676"/>
        <rFont val="WenQuanYi Zen Hei"/>
        <family val="2"/>
      </rPr>
      <t xml:space="preserve">、フェーズ</t>
    </r>
    <r>
      <rPr>
        <sz val="9"/>
        <color rgb="FF767676"/>
        <rFont val="Meiryo"/>
        <family val="0"/>
        <charset val="1"/>
      </rPr>
      <t xml:space="preserve">07.</t>
    </r>
    <r>
      <rPr>
        <sz val="9"/>
        <color rgb="FF767676"/>
        <rFont val="WenQuanYi Zen Hei"/>
        <family val="2"/>
      </rPr>
      <t xml:space="preserve">成約。単位：千円。</t>
    </r>
  </si>
  <si>
    <t xml:space="preserve">完了予定月</t>
  </si>
  <si>
    <t xml:space="preserve">2026/04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</si>
  <si>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Ver.2.0.6</t>
    </r>
    <r>
      <rPr>
        <sz val="10"/>
        <rFont val="WenQuanYi Zen Hei"/>
        <family val="2"/>
      </rPr>
      <t xml:space="preserve">（上田、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月分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台）</t>
    </r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</si>
  <si>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Ver2.0.6</t>
    </r>
    <r>
      <rPr>
        <sz val="10"/>
        <rFont val="WenQuanYi Zen Hei"/>
        <family val="2"/>
      </rPr>
      <t xml:space="preserve">（上田、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月分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台）②</t>
    </r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</si>
  <si>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VIE</t>
    </r>
  </si>
  <si>
    <t xml:space="preserve">リゾナーレ八ヶ岳プロジェクト</t>
  </si>
  <si>
    <t xml:space="preserve">有限会社サード･ワン</t>
  </si>
  <si>
    <t xml:space="preserve">白樺丸太</t>
  </si>
  <si>
    <t xml:space="preserve">株式会社スペース</t>
  </si>
  <si>
    <r>
      <rPr>
        <sz val="10"/>
        <rFont val="WenQuanYi Zen Hei"/>
        <family val="2"/>
      </rPr>
      <t xml:space="preserve">スターバックス</t>
    </r>
    <r>
      <rPr>
        <sz val="10"/>
        <rFont val="Meiryo"/>
        <family val="0"/>
        <charset val="1"/>
      </rPr>
      <t xml:space="preserve">_TX</t>
    </r>
    <r>
      <rPr>
        <sz val="10"/>
        <rFont val="WenQuanYi Zen Hei"/>
        <family val="2"/>
      </rPr>
      <t xml:space="preserve">アベニューつくば店</t>
    </r>
  </si>
  <si>
    <t xml:space="preserve">三井デザインテック株式会社</t>
  </si>
  <si>
    <r>
      <rPr>
        <sz val="10"/>
        <rFont val="WenQuanYi Zen Hei"/>
        <family val="2"/>
      </rPr>
      <t xml:space="preserve">上用賀五丁目</t>
    </r>
    <r>
      <rPr>
        <sz val="10"/>
        <rFont val="Meiryo"/>
        <family val="0"/>
        <charset val="1"/>
      </rPr>
      <t xml:space="preserve">PJ_</t>
    </r>
    <r>
      <rPr>
        <sz val="10"/>
        <rFont val="WenQuanYi Zen Hei"/>
        <family val="2"/>
      </rPr>
      <t xml:space="preserve">モデルルーム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モックアップ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玄関土間プラン</t>
    </r>
  </si>
  <si>
    <t xml:space="preserve">株式会社パーク・コーポレーション</t>
  </si>
  <si>
    <r>
      <rPr>
        <sz val="10"/>
        <rFont val="WenQuanYi Zen Hei"/>
        <family val="2"/>
      </rPr>
      <t xml:space="preserve">（仮称）クリオ石神井公園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保管･天然乾燥</t>
    </r>
  </si>
  <si>
    <t xml:space="preserve">TREEBATON</t>
  </si>
  <si>
    <t xml:space="preserve">遼有堂</t>
  </si>
  <si>
    <t xml:space="preserve">レッドシダー特注材</t>
  </si>
  <si>
    <t xml:space="preserve">サワラ桶材料</t>
  </si>
  <si>
    <t xml:space="preserve">杉幅広板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</si>
  <si>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Ver3.0.4</t>
    </r>
    <r>
      <rPr>
        <sz val="10"/>
        <rFont val="WenQuanYi Zen Hei"/>
        <family val="2"/>
      </rPr>
      <t xml:space="preserve">（北軽井沢、</t>
    </r>
    <r>
      <rPr>
        <sz val="10"/>
        <rFont val="Meiryo"/>
        <family val="0"/>
        <charset val="1"/>
      </rPr>
      <t xml:space="preserve">MOCver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月分）②</t>
    </r>
  </si>
  <si>
    <r>
      <rPr>
        <sz val="10"/>
        <rFont val="WenQuanYi Zen Hei"/>
        <family val="2"/>
      </rPr>
      <t xml:space="preserve">サンプル用</t>
    </r>
    <r>
      <rPr>
        <sz val="10"/>
        <rFont val="Meiryo"/>
        <family val="0"/>
        <charset val="1"/>
      </rPr>
      <t xml:space="preserve">_NEC</t>
    </r>
    <r>
      <rPr>
        <sz val="10"/>
        <rFont val="WenQuanYi Zen Hei"/>
        <family val="2"/>
      </rPr>
      <t xml:space="preserve">本社改修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ギャザリングエリア</t>
    </r>
    <r>
      <rPr>
        <sz val="10"/>
        <rFont val="Meiryo"/>
        <family val="0"/>
        <charset val="1"/>
      </rPr>
      <t xml:space="preserve">Mokkun</t>
    </r>
  </si>
  <si>
    <t xml:space="preserve">2026/05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</si>
  <si>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Ver.3</t>
    </r>
    <r>
      <rPr>
        <sz val="10"/>
        <rFont val="WenQuanYi Zen Hei"/>
        <family val="2"/>
      </rPr>
      <t xml:space="preserve">北杜（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台、本体棟＋寝室棟）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</si>
  <si>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カウンター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</si>
  <si>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J</t>
    </r>
    <r>
      <rPr>
        <sz val="10"/>
        <rFont val="WenQuanYi Zen Hei"/>
        <family val="2"/>
      </rPr>
      <t xml:space="preserve">パネル 行先未定（</t>
    </r>
    <r>
      <rPr>
        <sz val="10"/>
        <rFont val="Meiryo"/>
        <family val="0"/>
        <charset val="1"/>
      </rPr>
      <t xml:space="preserve">V3</t>
    </r>
    <r>
      <rPr>
        <sz val="10"/>
        <rFont val="WenQuanYi Zen Hei"/>
        <family val="2"/>
      </rPr>
      <t xml:space="preserve">軽量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発注時の想定は本体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台＋宿泊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台、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月末時点では本体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台＋宿泊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台で想定）</t>
    </r>
  </si>
  <si>
    <t xml:space="preserve">株式会社東急Ｒｅ・デザイン</t>
  </si>
  <si>
    <r>
      <rPr>
        <sz val="10"/>
        <rFont val="WenQuanYi Zen Hei"/>
        <family val="2"/>
      </rPr>
      <t xml:space="preserve">ロッテホテル錦糸町</t>
    </r>
    <r>
      <rPr>
        <sz val="10"/>
        <rFont val="Meiryo"/>
        <family val="0"/>
        <charset val="1"/>
      </rPr>
      <t xml:space="preserve">SWR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</si>
  <si>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突板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</t>
    </r>
  </si>
  <si>
    <r>
      <rPr>
        <sz val="10"/>
        <rFont val="Meiryo"/>
        <family val="0"/>
        <charset val="1"/>
      </rPr>
      <t xml:space="preserve">OMO5</t>
    </r>
    <r>
      <rPr>
        <sz val="10"/>
        <rFont val="WenQuanYi Zen Hei"/>
        <family val="2"/>
      </rPr>
      <t xml:space="preserve">大塚</t>
    </r>
    <r>
      <rPr>
        <sz val="10"/>
        <rFont val="Meiryo"/>
        <family val="0"/>
        <charset val="1"/>
      </rPr>
      <t xml:space="preserve">by</t>
    </r>
    <r>
      <rPr>
        <sz val="10"/>
        <rFont val="WenQuanYi Zen Hei"/>
        <family val="2"/>
      </rPr>
      <t xml:space="preserve">星野リゾート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イベントブース</t>
    </r>
  </si>
  <si>
    <r>
      <rPr>
        <sz val="10"/>
        <rFont val="Meiryo"/>
        <family val="0"/>
        <charset val="1"/>
      </rPr>
      <t xml:space="preserve">Polo</t>
    </r>
    <r>
      <rPr>
        <sz val="10"/>
        <rFont val="WenQuanYi Zen Hei"/>
        <family val="2"/>
      </rPr>
      <t xml:space="preserve">ららぽーと横浜</t>
    </r>
  </si>
  <si>
    <r>
      <rPr>
        <sz val="10"/>
        <rFont val="Meiryo"/>
        <family val="0"/>
        <charset val="1"/>
      </rPr>
      <t xml:space="preserve">Polo</t>
    </r>
    <r>
      <rPr>
        <sz val="10"/>
        <rFont val="WenQuanYi Zen Hei"/>
        <family val="2"/>
      </rPr>
      <t xml:space="preserve">ららぽーと横浜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追加発注分</t>
    </r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</si>
  <si>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Ver1.4.11</t>
    </r>
    <r>
      <rPr>
        <sz val="10"/>
        <rFont val="WenQuanYi Zen Hei"/>
        <family val="2"/>
      </rPr>
      <t xml:space="preserve">下屋部材　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台分（正転</t>
    </r>
    <r>
      <rPr>
        <sz val="10"/>
        <rFont val="Meiryo"/>
        <family val="0"/>
        <charset val="1"/>
      </rPr>
      <t xml:space="preserve">4+</t>
    </r>
    <r>
      <rPr>
        <sz val="10"/>
        <rFont val="WenQuanYi Zen Hei"/>
        <family val="2"/>
      </rPr>
      <t xml:space="preserve">反転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）※那須</t>
    </r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</si>
  <si>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DAISHIZEN</t>
    </r>
  </si>
  <si>
    <r>
      <rPr>
        <sz val="10"/>
        <rFont val="Meiryo"/>
        <family val="0"/>
        <charset val="1"/>
      </rPr>
      <t xml:space="preserve">Amazon_</t>
    </r>
    <r>
      <rPr>
        <sz val="10"/>
        <rFont val="WenQuanYi Zen Hei"/>
        <family val="2"/>
      </rPr>
      <t xml:space="preserve">麻布台ヒルズオフィス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流木</t>
    </r>
  </si>
  <si>
    <t xml:space="preserve">ONLY iron furniture</t>
  </si>
  <si>
    <r>
      <rPr>
        <sz val="10"/>
        <rFont val="Meiryo"/>
        <family val="0"/>
        <charset val="1"/>
      </rPr>
      <t xml:space="preserve">Paper-Wood_</t>
    </r>
    <r>
      <rPr>
        <sz val="10"/>
        <rFont val="WenQuanYi Zen Hei"/>
        <family val="2"/>
      </rPr>
      <t xml:space="preserve">本棚製作</t>
    </r>
  </si>
  <si>
    <t xml:space="preserve">三井不動産レジデンシャル株式会社</t>
  </si>
  <si>
    <r>
      <rPr>
        <sz val="10"/>
        <rFont val="WenQuanYi Zen Hei"/>
        <family val="2"/>
      </rPr>
      <t xml:space="preserve">既存樹保管（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日～</t>
    </r>
    <r>
      <rPr>
        <sz val="10"/>
        <rFont val="Meiryo"/>
        <family val="0"/>
        <charset val="1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31</t>
    </r>
    <r>
      <rPr>
        <sz val="10"/>
        <rFont val="WenQuanYi Zen Hei"/>
        <family val="2"/>
      </rPr>
      <t xml:space="preserve">日）</t>
    </r>
  </si>
  <si>
    <t xml:space="preserve">株式会社緑演舎</t>
  </si>
  <si>
    <r>
      <rPr>
        <sz val="10"/>
        <rFont val="WenQuanYi Zen Hei"/>
        <family val="2"/>
      </rPr>
      <t xml:space="preserve">茅乃舎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京都</t>
    </r>
  </si>
  <si>
    <t xml:space="preserve">株式会社イヨベ工芸社</t>
  </si>
  <si>
    <r>
      <rPr>
        <sz val="10"/>
        <rFont val="WenQuanYi Zen Hei"/>
        <family val="2"/>
      </rPr>
      <t xml:space="preserve">クリ巾ハギ材（大）</t>
    </r>
    <r>
      <rPr>
        <sz val="10"/>
        <rFont val="Meiryo"/>
        <family val="0"/>
        <charset val="1"/>
      </rPr>
      <t xml:space="preserve">_260513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No.PD-458</t>
    </r>
  </si>
  <si>
    <r>
      <rPr>
        <sz val="10"/>
        <rFont val="WenQuanYi Zen Hei"/>
        <family val="2"/>
      </rPr>
      <t xml:space="preserve">クリ巾ハギ材（小）</t>
    </r>
    <r>
      <rPr>
        <sz val="10"/>
        <rFont val="Meiryo"/>
        <family val="0"/>
        <charset val="1"/>
      </rPr>
      <t xml:space="preserve">_20260413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No.PD-381</t>
    </r>
  </si>
  <si>
    <r>
      <rPr>
        <sz val="10"/>
        <rFont val="WenQuanYi Zen Hei"/>
        <family val="2"/>
      </rPr>
      <t xml:space="preserve">目黒区上目黒一丁目計画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材木引取･製材業務</t>
    </r>
  </si>
  <si>
    <r>
      <rPr>
        <sz val="10"/>
        <rFont val="WenQuanYi Zen Hei"/>
        <family val="2"/>
      </rPr>
      <t xml:space="preserve">顧客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先方社外紹介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口コミ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</si>
  <si>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クリ巾ハギ材（小）</t>
    </r>
    <r>
      <rPr>
        <sz val="10"/>
        <rFont val="Meiryo"/>
        <family val="0"/>
        <charset val="1"/>
      </rPr>
      <t xml:space="preserve">_20260425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No.PD-430</t>
    </r>
  </si>
  <si>
    <t xml:space="preserve">カスヤアーキテクツオフィス</t>
  </si>
  <si>
    <t xml:space="preserve">研究室棚材②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</si>
  <si>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Ver2.0.6</t>
    </r>
    <r>
      <rPr>
        <sz val="10"/>
        <rFont val="WenQuanYi Zen Hei"/>
        <family val="2"/>
      </rPr>
      <t xml:space="preserve">（上田、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月分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台）③</t>
    </r>
  </si>
  <si>
    <t xml:space="preserve">アークランズ株式会社</t>
  </si>
  <si>
    <r>
      <rPr>
        <sz val="10"/>
        <rFont val="WenQuanYi Zen Hei"/>
        <family val="2"/>
      </rPr>
      <t xml:space="preserve">ケヤキ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表札用板材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</si>
  <si>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Ver3.0.0 </t>
    </r>
    <r>
      <rPr>
        <sz val="10"/>
        <rFont val="WenQuanYi Zen Hei"/>
        <family val="2"/>
      </rPr>
      <t xml:space="preserve">本体棟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台＋宿泊棟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台（軽量化モデル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モック製造）／北軽井沢</t>
    </r>
  </si>
  <si>
    <t xml:space="preserve">シトカスプルース</t>
  </si>
  <si>
    <t xml:space="preserve">有限会社スペースインテリア・ナカノ</t>
  </si>
  <si>
    <r>
      <rPr>
        <sz val="10"/>
        <rFont val="WenQuanYi Zen Hei"/>
        <family val="2"/>
      </rPr>
      <t xml:space="preserve">森未来文庫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スペースインテリア・ナカノ様向け</t>
    </r>
  </si>
  <si>
    <t xml:space="preserve">吉田 京平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</si>
  <si>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Ver3.0.0 </t>
    </r>
    <r>
      <rPr>
        <sz val="10"/>
        <rFont val="WenQuanYi Zen Hei"/>
        <family val="2"/>
      </rPr>
      <t xml:space="preserve">本体棟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台＋宿泊棟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台（軽量化モデル</t>
    </r>
    <r>
      <rPr>
        <sz val="10"/>
        <rFont val="Meiryo"/>
        <family val="0"/>
        <charset val="1"/>
      </rPr>
      <t xml:space="preserve">,TIC</t>
    </r>
    <r>
      <rPr>
        <sz val="10"/>
        <rFont val="WenQuanYi Zen Hei"/>
        <family val="2"/>
      </rPr>
      <t xml:space="preserve">製造）／北軽井沢</t>
    </r>
  </si>
  <si>
    <t xml:space="preserve">株式会社船場</t>
  </si>
  <si>
    <r>
      <rPr>
        <sz val="10"/>
        <rFont val="WenQuanYi Zen Hei"/>
        <family val="2"/>
      </rPr>
      <t xml:space="preserve">コクヨ大阪本社移転計画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万博ベンチ余り材処分</t>
    </r>
  </si>
  <si>
    <t xml:space="preserve">下郷町森林イノベーション推進協議会</t>
  </si>
  <si>
    <r>
      <rPr>
        <sz val="10"/>
        <rFont val="WenQuanYi Zen Hei"/>
        <family val="2"/>
      </rPr>
      <t xml:space="preserve">森未来文庫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樹種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種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下郷町森林イノベーション推進協議会様向け</t>
    </r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</si>
  <si>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EAGLEVALLEY</t>
    </r>
  </si>
  <si>
    <r>
      <rPr>
        <sz val="10"/>
        <rFont val="WenQuanYi Zen Hei"/>
        <family val="2"/>
      </rPr>
      <t xml:space="preserve">杉</t>
    </r>
    <r>
      <rPr>
        <sz val="10"/>
        <rFont val="Meiryo"/>
        <family val="0"/>
        <charset val="1"/>
      </rPr>
      <t xml:space="preserve">J</t>
    </r>
    <r>
      <rPr>
        <sz val="10"/>
        <rFont val="WenQuanYi Zen Hei"/>
        <family val="2"/>
      </rPr>
      <t xml:space="preserve">パネル</t>
    </r>
    <r>
      <rPr>
        <sz val="10"/>
        <rFont val="Meiryo"/>
        <family val="0"/>
        <charset val="1"/>
      </rPr>
      <t xml:space="preserve">36×1000×2000</t>
    </r>
    <r>
      <rPr>
        <sz val="10"/>
        <rFont val="WenQuanYi Zen Hei"/>
        <family val="2"/>
      </rPr>
      <t xml:space="preserve">㍉両面化粧</t>
    </r>
  </si>
  <si>
    <t xml:space="preserve">株式会社森未来</t>
  </si>
  <si>
    <t xml:space="preserve">コースター</t>
  </si>
  <si>
    <r>
      <rPr>
        <sz val="10"/>
        <rFont val="Meiryo"/>
        <family val="0"/>
        <charset val="1"/>
      </rPr>
      <t xml:space="preserve">amazon</t>
    </r>
    <r>
      <rPr>
        <sz val="10"/>
        <rFont val="WenQuanYi Zen Hei"/>
        <family val="2"/>
      </rPr>
      <t xml:space="preserve">新オフィスアップサイクル用素材提供</t>
    </r>
  </si>
  <si>
    <t xml:space="preserve">株式会社グリーンディスプレイ</t>
  </si>
  <si>
    <t xml:space="preserve">鋸屑サンプル</t>
  </si>
  <si>
    <t xml:space="preserve">高橋 幸司</t>
  </si>
  <si>
    <t xml:space="preserve">2026/06</t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</si>
  <si>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_FSC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PJ_1</t>
    </r>
    <r>
      <rPr>
        <sz val="10"/>
        <rFont val="WenQuanYi Zen Hei"/>
        <family val="2"/>
      </rPr>
      <t xml:space="preserve">回目</t>
    </r>
  </si>
  <si>
    <r>
      <rPr>
        <sz val="10"/>
        <rFont val="WenQuanYi Zen Hei"/>
        <family val="2"/>
      </rPr>
      <t xml:space="preserve">当社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イベント・広報</t>
    </r>
  </si>
  <si>
    <t xml:space="preserve">有限会社松月旅館</t>
  </si>
  <si>
    <t xml:space="preserve">皆生游月鉄板コーナー改装工事</t>
  </si>
  <si>
    <t xml:space="preserve">大和ハウス工業株式会社</t>
  </si>
  <si>
    <r>
      <rPr>
        <sz val="10"/>
        <rFont val="WenQuanYi Zen Hei"/>
        <family val="2"/>
      </rPr>
      <t xml:space="preserve">土浦市真鍋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丁目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分譲賃貸住宅新築工事</t>
    </r>
  </si>
  <si>
    <t xml:space="preserve">株式会社ウッドパーツ</t>
  </si>
  <si>
    <r>
      <rPr>
        <sz val="10"/>
        <rFont val="WenQuanYi Zen Hei"/>
        <family val="2"/>
      </rPr>
      <t xml:space="preserve">苫小牧ホテル案件一枚板（日建設計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住商インテリア）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</si>
  <si>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Ver1.4.11</t>
    </r>
    <r>
      <rPr>
        <sz val="10"/>
        <rFont val="WenQuanYi Zen Hei"/>
        <family val="2"/>
      </rPr>
      <t xml:space="preserve">下屋部材　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台分（正転</t>
    </r>
    <r>
      <rPr>
        <sz val="10"/>
        <rFont val="Meiryo"/>
        <family val="0"/>
        <charset val="1"/>
      </rPr>
      <t xml:space="preserve">4+</t>
    </r>
    <r>
      <rPr>
        <sz val="10"/>
        <rFont val="WenQuanYi Zen Hei"/>
        <family val="2"/>
      </rPr>
      <t xml:space="preserve">反転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） 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月度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</si>
  <si>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Ver3.0.0 </t>
    </r>
    <r>
      <rPr>
        <sz val="10"/>
        <rFont val="WenQuanYi Zen Hei"/>
        <family val="2"/>
      </rPr>
      <t xml:space="preserve">本体棟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台＋宿泊棟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台（軽量化モデル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モック製造）／北杜　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月度</t>
    </r>
  </si>
  <si>
    <r>
      <rPr>
        <sz val="10"/>
        <rFont val="WenQuanYi Zen Hei"/>
        <family val="2"/>
      </rPr>
      <t xml:space="preserve">港区白金台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丁目計画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引取り製材業務</t>
    </r>
  </si>
  <si>
    <t xml:space="preserve">株式会社ビルドイースト</t>
  </si>
  <si>
    <r>
      <rPr>
        <sz val="10"/>
        <rFont val="WenQuanYi Zen Hei"/>
        <family val="2"/>
      </rPr>
      <t xml:space="preserve">はなれ宿善積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テーブル一枚板</t>
    </r>
  </si>
  <si>
    <r>
      <rPr>
        <sz val="10"/>
        <rFont val="WenQuanYi Zen Hei"/>
        <family val="2"/>
      </rPr>
      <t xml:space="preserve">上用賀五丁目</t>
    </r>
    <r>
      <rPr>
        <sz val="10"/>
        <rFont val="Meiryo"/>
        <family val="0"/>
        <charset val="1"/>
      </rPr>
      <t xml:space="preserve">PJ_</t>
    </r>
    <r>
      <rPr>
        <sz val="10"/>
        <rFont val="WenQuanYi Zen Hei"/>
        <family val="2"/>
      </rPr>
      <t xml:space="preserve">専有部玄関家具プラン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図面作成フェーズ</t>
    </r>
  </si>
  <si>
    <t xml:space="preserve">株式会社丸泰</t>
  </si>
  <si>
    <r>
      <rPr>
        <sz val="10"/>
        <rFont val="WenQuanYi Zen Hei"/>
        <family val="2"/>
      </rPr>
      <t xml:space="preserve">木造住宅併用店舗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カウンター天板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</si>
  <si>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追加作業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一枚板塞ぎ材</t>
    </r>
  </si>
  <si>
    <t xml:space="preserve">カリコ一級建築士事務所</t>
  </si>
  <si>
    <r>
      <rPr>
        <sz val="10"/>
        <rFont val="WenQuanYi Zen Hei"/>
        <family val="2"/>
      </rPr>
      <t xml:space="preserve">芝浦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複合施設新装計画</t>
    </r>
    <r>
      <rPr>
        <sz val="10"/>
        <rFont val="Meiryo"/>
        <family val="0"/>
        <charset val="1"/>
      </rPr>
      <t xml:space="preserve">2F-5F</t>
    </r>
    <r>
      <rPr>
        <sz val="10"/>
        <rFont val="WenQuanYi Zen Hei"/>
        <family val="2"/>
      </rPr>
      <t xml:space="preserve">宿泊施設</t>
    </r>
  </si>
  <si>
    <t xml:space="preserve">むらき建築工房株式会社</t>
  </si>
  <si>
    <t xml:space="preserve">とばり別邸 改装工事</t>
  </si>
  <si>
    <r>
      <rPr>
        <sz val="10"/>
        <rFont val="WenQuanYi Zen Hei"/>
        <family val="2"/>
      </rPr>
      <t xml:space="preserve">ロッテホテル錦糸町</t>
    </r>
    <r>
      <rPr>
        <sz val="10"/>
        <rFont val="Meiryo"/>
        <family val="0"/>
        <charset val="1"/>
      </rPr>
      <t xml:space="preserve">SWR_</t>
    </r>
    <r>
      <rPr>
        <sz val="10"/>
        <rFont val="WenQuanYi Zen Hei"/>
        <family val="2"/>
      </rPr>
      <t xml:space="preserve">追加</t>
    </r>
  </si>
  <si>
    <r>
      <rPr>
        <sz val="10"/>
        <rFont val="Meiryo"/>
        <family val="0"/>
        <charset val="1"/>
      </rPr>
      <t xml:space="preserve">RICARDO ARCHITECTURAL LIGHTING</t>
    </r>
    <r>
      <rPr>
        <sz val="10"/>
        <rFont val="WenQuanYi Zen Hei"/>
        <family val="2"/>
      </rPr>
      <t xml:space="preserve">株式会社</t>
    </r>
  </si>
  <si>
    <r>
      <rPr>
        <sz val="10"/>
        <rFont val="WenQuanYi Zen Hei"/>
        <family val="2"/>
      </rPr>
      <t xml:space="preserve">セルフネン不燃和紙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照明器具シェード</t>
    </r>
  </si>
  <si>
    <r>
      <rPr>
        <sz val="10"/>
        <rFont val="WenQuanYi Zen Hei"/>
        <family val="2"/>
      </rPr>
      <t xml:space="preserve">南浦和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地主様向け既存樹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伐採引き取り</t>
    </r>
  </si>
  <si>
    <t xml:space="preserve">天然サワラ柾</t>
  </si>
  <si>
    <r>
      <rPr>
        <sz val="10"/>
        <rFont val="Meiryo"/>
        <family val="0"/>
        <charset val="1"/>
      </rPr>
      <t xml:space="preserve">Polo</t>
    </r>
    <r>
      <rPr>
        <sz val="10"/>
        <rFont val="WenQuanYi Zen Hei"/>
        <family val="2"/>
      </rPr>
      <t xml:space="preserve">ららぽーと横浜店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現場用コンパネ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便目</t>
    </r>
  </si>
  <si>
    <t xml:space="preserve">大日本印刷株式会社</t>
  </si>
  <si>
    <t xml:space="preserve">シート印刷用木材</t>
  </si>
  <si>
    <t xml:space="preserve">積水ハウス株式会社</t>
  </si>
  <si>
    <r>
      <rPr>
        <sz val="10"/>
        <rFont val="Meiryo"/>
        <family val="0"/>
        <charset val="1"/>
      </rPr>
      <t xml:space="preserve">JA</t>
    </r>
    <r>
      <rPr>
        <sz val="10"/>
        <rFont val="WenQuanYi Zen Hei"/>
        <family val="2"/>
      </rPr>
      <t xml:space="preserve">いちかわ行徳支店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杉皮材支給</t>
    </r>
  </si>
  <si>
    <r>
      <rPr>
        <sz val="10"/>
        <rFont val="WenQuanYi Zen Hei"/>
        <family val="2"/>
      </rPr>
      <t xml:space="preserve">クリ巾ハギ材（小）</t>
    </r>
    <r>
      <rPr>
        <sz val="10"/>
        <rFont val="Meiryo"/>
        <family val="0"/>
        <charset val="1"/>
      </rPr>
      <t xml:space="preserve">_260525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No.PD-499</t>
    </r>
  </si>
  <si>
    <r>
      <rPr>
        <sz val="10"/>
        <rFont val="WenQuanYi Zen Hei"/>
        <family val="2"/>
      </rPr>
      <t xml:space="preserve">太閤向け</t>
    </r>
    <r>
      <rPr>
        <sz val="10"/>
        <rFont val="Meiryo"/>
        <family val="0"/>
        <charset val="1"/>
      </rPr>
      <t xml:space="preserve">FSC</t>
    </r>
    <r>
      <rPr>
        <sz val="10"/>
        <rFont val="WenQuanYi Zen Hei"/>
        <family val="2"/>
      </rPr>
      <t xml:space="preserve">ポプラ</t>
    </r>
    <r>
      <rPr>
        <sz val="10"/>
        <rFont val="Meiryo"/>
        <family val="0"/>
        <charset val="1"/>
      </rPr>
      <t xml:space="preserve">LVL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45x30x4000</t>
    </r>
    <r>
      <rPr>
        <sz val="10"/>
        <rFont val="WenQuanYi Zen Hei"/>
        <family val="2"/>
      </rPr>
      <t xml:space="preserve">）</t>
    </r>
  </si>
  <si>
    <t xml:space="preserve">天然木曽ヒノキ</t>
  </si>
  <si>
    <r>
      <rPr>
        <sz val="10"/>
        <rFont val="WenQuanYi Zen Hei"/>
        <family val="2"/>
      </rPr>
      <t xml:space="preserve">セルフネン不燃和紙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照明器具シェード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追加発注</t>
    </r>
  </si>
  <si>
    <t xml:space="preserve">天然木曽ヒノキ（柾無地）</t>
  </si>
  <si>
    <t xml:space="preserve">株式会社ユタカ装工</t>
  </si>
  <si>
    <r>
      <rPr>
        <sz val="10"/>
        <rFont val="WenQuanYi Zen Hei"/>
        <family val="2"/>
      </rPr>
      <t xml:space="preserve">阪急本店</t>
    </r>
    <r>
      <rPr>
        <sz val="10"/>
        <rFont val="Meiryo"/>
        <family val="0"/>
        <charset val="1"/>
      </rPr>
      <t xml:space="preserve">2F_MAC</t>
    </r>
    <r>
      <rPr>
        <sz val="10"/>
        <rFont val="WenQuanYi Zen Hei"/>
        <family val="2"/>
      </rPr>
      <t xml:space="preserve">分</t>
    </r>
  </si>
  <si>
    <r>
      <rPr>
        <sz val="10"/>
        <rFont val="Meiryo"/>
        <family val="0"/>
        <charset val="1"/>
      </rPr>
      <t xml:space="preserve">Earthboat</t>
    </r>
    <r>
      <rPr>
        <sz val="10"/>
        <rFont val="WenQuanYi Zen Hei"/>
        <family val="2"/>
      </rPr>
      <t xml:space="preserve">】上田（</t>
    </r>
    <r>
      <rPr>
        <sz val="10"/>
        <rFont val="Meiryo"/>
        <family val="0"/>
        <charset val="1"/>
      </rPr>
      <t xml:space="preserve">Ver2.0.6_</t>
    </r>
    <r>
      <rPr>
        <sz val="10"/>
        <rFont val="WenQuanYi Zen Hei"/>
        <family val="2"/>
      </rPr>
      <t xml:space="preserve">デッキ材なし）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月度</t>
    </r>
  </si>
  <si>
    <r>
      <rPr>
        <sz val="10"/>
        <rFont val="WenQuanYi Zen Hei"/>
        <family val="2"/>
      </rPr>
      <t xml:space="preserve">株式会社</t>
    </r>
    <r>
      <rPr>
        <sz val="10"/>
        <rFont val="Meiryo"/>
        <family val="0"/>
        <charset val="1"/>
      </rPr>
      <t xml:space="preserve">ANOBAKA</t>
    </r>
  </si>
  <si>
    <r>
      <rPr>
        <sz val="10"/>
        <rFont val="WenQuanYi Zen Hei"/>
        <family val="2"/>
      </rPr>
      <t xml:space="preserve">キャナルベンチャーズ様向け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周年記念写真立て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ヒノキ</t>
    </r>
  </si>
  <si>
    <t xml:space="preserve">浅野 純平</t>
  </si>
  <si>
    <r>
      <rPr>
        <sz val="10"/>
        <rFont val="WenQuanYi Zen Hei"/>
        <family val="2"/>
      </rPr>
      <t xml:space="preserve">森未来文庫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加工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種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下郷町森林イノベーション推進協議会様向け</t>
    </r>
  </si>
  <si>
    <t xml:space="preserve">2026/07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</si>
  <si>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Ver.3</t>
    </r>
    <r>
      <rPr>
        <sz val="10"/>
        <rFont val="WenQuanYi Zen Hei"/>
        <family val="2"/>
      </rPr>
      <t xml:space="preserve">行先未定（本体棟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台＋寝室棟４台）</t>
    </r>
  </si>
  <si>
    <r>
      <rPr>
        <sz val="10"/>
        <rFont val="Meiryo"/>
        <family val="0"/>
        <charset val="1"/>
      </rPr>
      <t xml:space="preserve">ATONA_</t>
    </r>
    <r>
      <rPr>
        <sz val="10"/>
        <rFont val="WenQuanYi Zen Hei"/>
        <family val="2"/>
      </rPr>
      <t xml:space="preserve">京都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床材</t>
    </r>
  </si>
  <si>
    <t xml:space="preserve">関電不動産開発株式会社</t>
  </si>
  <si>
    <r>
      <rPr>
        <sz val="10"/>
        <rFont val="WenQuanYi Zen Hei"/>
        <family val="2"/>
      </rPr>
      <t xml:space="preserve">シエリアあざみ野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オブジェ等製作及び設置工事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関電不動産様</t>
    </r>
  </si>
  <si>
    <r>
      <rPr>
        <sz val="10"/>
        <rFont val="Meiryo"/>
        <family val="0"/>
        <charset val="1"/>
      </rPr>
      <t xml:space="preserve">MOFF_AnimalCafe</t>
    </r>
    <r>
      <rPr>
        <sz val="10"/>
        <rFont val="WenQuanYi Zen Hei"/>
        <family val="2"/>
      </rPr>
      <t xml:space="preserve">ららぽーと堺店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丸太・枝</t>
    </r>
  </si>
  <si>
    <t xml:space="preserve">日鉄興和不動産株式会社</t>
  </si>
  <si>
    <r>
      <rPr>
        <sz val="10"/>
        <rFont val="WenQuanYi Zen Hei"/>
        <family val="2"/>
      </rPr>
      <t xml:space="preserve">シエリアあざみ野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オブジェ等製作及び設置工事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日鉄興和不動産様</t>
    </r>
  </si>
  <si>
    <t xml:space="preserve">株式会社マザーハウス</t>
  </si>
  <si>
    <r>
      <rPr>
        <sz val="10"/>
        <rFont val="WenQuanYi Zen Hei"/>
        <family val="2"/>
      </rPr>
      <t xml:space="preserve">東急銀座</t>
    </r>
    <r>
      <rPr>
        <sz val="10"/>
        <rFont val="Meiryo"/>
        <family val="0"/>
        <charset val="1"/>
      </rPr>
      <t xml:space="preserve">EY</t>
    </r>
    <r>
      <rPr>
        <sz val="10"/>
        <rFont val="WenQuanYi Zen Hei"/>
        <family val="2"/>
      </rPr>
      <t xml:space="preserve">什器解体・移設・保管（銀座</t>
    </r>
    <r>
      <rPr>
        <sz val="10"/>
        <rFont val="Meiryo"/>
        <family val="0"/>
        <charset val="1"/>
      </rPr>
      <t xml:space="preserve">NOVO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</si>
  <si>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ATONA_</t>
    </r>
    <r>
      <rPr>
        <sz val="10"/>
        <rFont val="WenQuanYi Zen Hei"/>
        <family val="2"/>
      </rPr>
      <t xml:space="preserve">京都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建具突板</t>
    </r>
  </si>
  <si>
    <t xml:space="preserve">SWA Group</t>
  </si>
  <si>
    <r>
      <rPr>
        <sz val="10"/>
        <rFont val="Meiryo"/>
        <family val="0"/>
        <charset val="1"/>
      </rPr>
      <t xml:space="preserve">Fujitsu Technology Park</t>
    </r>
    <r>
      <rPr>
        <sz val="10"/>
        <rFont val="WenQuanYi Zen Hei"/>
        <family val="2"/>
      </rPr>
      <t xml:space="preserve">プロジェクト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既存樹活用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</si>
  <si>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カウンター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</t>
    </r>
    <r>
      <rPr>
        <sz val="10"/>
        <rFont val="Meiryo"/>
        <family val="0"/>
        <charset val="1"/>
      </rPr>
      <t xml:space="preserve">_7</t>
    </r>
    <r>
      <rPr>
        <sz val="10"/>
        <rFont val="WenQuanYi Zen Hei"/>
        <family val="2"/>
      </rPr>
      <t xml:space="preserve">月分</t>
    </r>
  </si>
  <si>
    <t xml:space="preserve">ラルフローレン湘南テラスモール店改修</t>
  </si>
  <si>
    <r>
      <rPr>
        <sz val="10"/>
        <rFont val="Meiryo"/>
        <family val="0"/>
        <charset val="1"/>
      </rPr>
      <t xml:space="preserve">MOFF_AnimalCafe</t>
    </r>
    <r>
      <rPr>
        <sz val="10"/>
        <rFont val="WenQuanYi Zen Hei"/>
        <family val="2"/>
      </rPr>
      <t xml:space="preserve">ららぽーと堺店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丸太・枝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追加分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</si>
  <si>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追加作業</t>
    </r>
    <r>
      <rPr>
        <sz val="10"/>
        <rFont val="Meiryo"/>
        <family val="0"/>
        <charset val="1"/>
      </rPr>
      <t xml:space="preserve">_7</t>
    </r>
    <r>
      <rPr>
        <sz val="10"/>
        <rFont val="WenQuanYi Zen Hei"/>
        <family val="2"/>
      </rPr>
      <t xml:space="preserve">月</t>
    </r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</si>
  <si>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Ver.3</t>
    </r>
    <r>
      <rPr>
        <sz val="10"/>
        <rFont val="WenQuanYi Zen Hei"/>
        <family val="2"/>
      </rPr>
      <t xml:space="preserve">　北杜７月度</t>
    </r>
  </si>
  <si>
    <t xml:space="preserve">京都大丸ボビーブラウン</t>
  </si>
  <si>
    <t xml:space="preserve">2026/08</t>
  </si>
  <si>
    <r>
      <rPr>
        <sz val="10"/>
        <rFont val="WenQuanYi Zen Hei"/>
        <family val="2"/>
      </rPr>
      <t xml:space="preserve">アースボート</t>
    </r>
    <r>
      <rPr>
        <sz val="10"/>
        <rFont val="Meiryo"/>
        <family val="0"/>
        <charset val="1"/>
      </rPr>
      <t xml:space="preserve">Ver.3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月納品の製材・</t>
    </r>
    <r>
      <rPr>
        <sz val="10"/>
        <rFont val="Meiryo"/>
        <family val="0"/>
        <charset val="1"/>
      </rPr>
      <t xml:space="preserve">7+8</t>
    </r>
    <r>
      <rPr>
        <sz val="10"/>
        <rFont val="WenQuanYi Zen Hei"/>
        <family val="2"/>
      </rPr>
      <t xml:space="preserve">月納品分）</t>
    </r>
  </si>
  <si>
    <r>
      <rPr>
        <sz val="10"/>
        <rFont val="WenQuanYi Zen Hei"/>
        <family val="2"/>
      </rPr>
      <t xml:space="preserve">味の素本社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アジパンダショップ什器小物類</t>
    </r>
  </si>
  <si>
    <r>
      <rPr>
        <sz val="10"/>
        <rFont val="Meiryo"/>
        <family val="0"/>
        <charset val="1"/>
      </rPr>
      <t xml:space="preserve">TRE</t>
    </r>
    <r>
      <rPr>
        <sz val="10"/>
        <rFont val="WenQuanYi Zen Hei"/>
        <family val="2"/>
      </rPr>
      <t xml:space="preserve">ホールディングス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丸太輪切り材</t>
    </r>
  </si>
  <si>
    <r>
      <rPr>
        <sz val="10"/>
        <rFont val="WenQuanYi Zen Hei"/>
        <family val="2"/>
      </rPr>
      <t xml:space="preserve">味の素レストラン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内装パネル</t>
    </r>
  </si>
  <si>
    <r>
      <rPr>
        <sz val="10"/>
        <rFont val="WenQuanYi Zen Hei"/>
        <family val="2"/>
      </rPr>
      <t xml:space="preserve">年賀ノベルティ</t>
    </r>
    <r>
      <rPr>
        <sz val="10"/>
        <rFont val="Meiryo"/>
        <family val="0"/>
        <charset val="1"/>
      </rPr>
      <t xml:space="preserve">2027</t>
    </r>
    <r>
      <rPr>
        <sz val="10"/>
        <rFont val="WenQuanYi Zen Hei"/>
        <family val="2"/>
      </rPr>
      <t xml:space="preserve">（未年）</t>
    </r>
  </si>
  <si>
    <r>
      <rPr>
        <sz val="10"/>
        <rFont val="WenQuanYi Zen Hei"/>
        <family val="2"/>
      </rPr>
      <t xml:space="preserve">セルフネン不燃和紙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追加発注</t>
    </r>
    <r>
      <rPr>
        <sz val="10"/>
        <rFont val="Meiryo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</si>
  <si>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セルフネン不燃和紙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追加発注</t>
    </r>
    <r>
      <rPr>
        <sz val="10"/>
        <rFont val="Meiryo"/>
        <family val="0"/>
        <charset val="1"/>
      </rPr>
      <t xml:space="preserve">3</t>
    </r>
  </si>
  <si>
    <t xml:space="preserve">和田誠建築設計事務所</t>
  </si>
  <si>
    <r>
      <rPr>
        <sz val="10"/>
        <rFont val="WenQuanYi Zen Hei"/>
        <family val="2"/>
      </rPr>
      <t xml:space="preserve">焼酉川島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ストッカー什器補修</t>
    </r>
  </si>
  <si>
    <t xml:space="preserve">第一園芸株式会社</t>
  </si>
  <si>
    <r>
      <rPr>
        <sz val="10"/>
        <rFont val="WenQuanYi Zen Hei"/>
        <family val="2"/>
      </rPr>
      <t xml:space="preserve">ららぽーと</t>
    </r>
    <r>
      <rPr>
        <sz val="10"/>
        <rFont val="Meiryo"/>
        <family val="0"/>
        <charset val="1"/>
      </rPr>
      <t xml:space="preserve">TOKYO-BAY_</t>
    </r>
    <r>
      <rPr>
        <sz val="10"/>
        <rFont val="WenQuanYi Zen Hei"/>
        <family val="2"/>
      </rPr>
      <t xml:space="preserve">ヤシの木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既存樹利用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サンプル</t>
    </r>
  </si>
  <si>
    <t xml:space="preserve">株式会社ヴィス</t>
  </si>
  <si>
    <r>
      <rPr>
        <sz val="10"/>
        <rFont val="Meiryo"/>
        <family val="0"/>
        <charset val="1"/>
      </rPr>
      <t xml:space="preserve">ANYCOLOR_</t>
    </r>
    <r>
      <rPr>
        <sz val="10"/>
        <rFont val="WenQuanYi Zen Hei"/>
        <family val="2"/>
      </rPr>
      <t xml:space="preserve">森林ツアー</t>
    </r>
  </si>
  <si>
    <r>
      <rPr>
        <sz val="10"/>
        <rFont val="WenQuanYi Zen Hei"/>
        <family val="2"/>
      </rPr>
      <t xml:space="preserve">太閤向け</t>
    </r>
    <r>
      <rPr>
        <sz val="10"/>
        <rFont val="Meiryo"/>
        <family val="0"/>
        <charset val="1"/>
      </rPr>
      <t xml:space="preserve">FSC</t>
    </r>
    <r>
      <rPr>
        <sz val="10"/>
        <rFont val="WenQuanYi Zen Hei"/>
        <family val="2"/>
      </rPr>
      <t xml:space="preserve">ポプラ</t>
    </r>
    <r>
      <rPr>
        <sz val="10"/>
        <rFont val="Meiryo"/>
        <family val="0"/>
        <charset val="1"/>
      </rPr>
      <t xml:space="preserve">LVL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45x30x4000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260803</t>
    </r>
  </si>
  <si>
    <t xml:space="preserve">有限会社大忠工務店</t>
  </si>
  <si>
    <t xml:space="preserve">【武田邸】副資材（外壁材サンプル）</t>
  </si>
  <si>
    <t xml:space="preserve">2026/09</t>
  </si>
  <si>
    <t xml:space="preserve">グラフ用データ（サマリーのグラフが参照します）</t>
  </si>
  <si>
    <t xml:space="preserve">すべて明細シートからの自動計算。単位：千円。</t>
  </si>
  <si>
    <r>
      <rPr>
        <b val="true"/>
        <sz val="10"/>
        <color rgb="FF2C5F2D"/>
        <rFont val="Meiryo"/>
        <family val="0"/>
        <charset val="1"/>
      </rPr>
      <t xml:space="preserve">9</t>
    </r>
    <r>
      <rPr>
        <b val="true"/>
        <sz val="10"/>
        <color rgb="FF2C5F2D"/>
        <rFont val="WenQuanYi Zen Hei"/>
        <family val="2"/>
      </rPr>
      <t xml:space="preserve">月 商談所有者別</t>
    </r>
  </si>
  <si>
    <t xml:space="preserve">その他（恒冨・五江渕・森口）</t>
  </si>
  <si>
    <r>
      <rPr>
        <b val="true"/>
        <sz val="10"/>
        <color rgb="FF2C5F2D"/>
        <rFont val="Meiryo"/>
        <family val="0"/>
        <charset val="1"/>
      </rPr>
      <t xml:space="preserve">9</t>
    </r>
    <r>
      <rPr>
        <b val="true"/>
        <sz val="10"/>
        <color rgb="FF2C5F2D"/>
        <rFont val="WenQuanYi Zen Hei"/>
        <family val="2"/>
      </rPr>
      <t xml:space="preserve">月 商談のきっかけ別</t>
    </r>
  </si>
  <si>
    <r>
      <rPr>
        <sz val="10"/>
        <rFont val="WenQuanYi Zen Hei"/>
        <family val="2"/>
      </rPr>
      <t xml:space="preserve">その他（追加受注・新規・</t>
    </r>
    <r>
      <rPr>
        <sz val="10"/>
        <rFont val="Meiryo"/>
        <family val="0"/>
        <charset val="1"/>
      </rPr>
      <t xml:space="preserve">eTREE </t>
    </r>
    <r>
      <rPr>
        <sz val="10"/>
        <rFont val="WenQuanYi Zen Hei"/>
        <family val="2"/>
      </rPr>
      <t xml:space="preserve">他）</t>
    </r>
  </si>
  <si>
    <t xml:space="preserve">算出方法と注意点</t>
  </si>
  <si>
    <t xml:space="preserve">■ 使用データ</t>
  </si>
  <si>
    <t xml:space="preserve">レポート名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</si>
  <si>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</t>
    </r>
    <r>
      <rPr>
        <sz val="10"/>
        <rFont val="WenQuanYi Zen Hei"/>
        <family val="2"/>
      </rPr>
      <t xml:space="preserve">実績</t>
    </r>
    <r>
      <rPr>
        <sz val="10"/>
        <rFont val="Meiryo"/>
        <family val="0"/>
        <charset val="1"/>
      </rPr>
      <t xml:space="preserve">(4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前月</t>
    </r>
    <r>
      <rPr>
        <sz val="10"/>
        <rFont val="Meiryo"/>
        <family val="0"/>
        <charset val="1"/>
      </rPr>
      <t xml:space="preserve">)_26</t>
    </r>
    <r>
      <rPr>
        <sz val="10"/>
        <rFont val="WenQuanYi Zen Hei"/>
        <family val="2"/>
      </rPr>
      <t xml:space="preserve">年度</t>
    </r>
  </si>
  <si>
    <t xml:space="preserve">出力日時</t>
  </si>
  <si>
    <t xml:space="preserve">2026-10-06 19:38:40</t>
  </si>
  <si>
    <r>
      <rPr>
        <sz val="10"/>
        <rFont val="Meiryo"/>
        <family val="0"/>
        <charset val="1"/>
      </rPr>
      <t xml:space="preserve">117</t>
    </r>
    <r>
      <rPr>
        <sz val="10"/>
        <rFont val="WenQuanYi Zen Hei"/>
        <family val="2"/>
      </rPr>
      <t xml:space="preserve">件・合計 </t>
    </r>
    <r>
      <rPr>
        <sz val="10"/>
        <rFont val="Meiryo"/>
        <family val="0"/>
        <charset val="1"/>
      </rPr>
      <t xml:space="preserve">105,242,696</t>
    </r>
    <r>
      <rPr>
        <sz val="10"/>
        <rFont val="WenQuanYi Zen Hei"/>
        <family val="2"/>
      </rPr>
      <t xml:space="preserve">円</t>
    </r>
  </si>
  <si>
    <t xml:space="preserve">抽出条件</t>
  </si>
  <si>
    <r>
      <rPr>
        <sz val="10"/>
        <rFont val="WenQuanYi Zen Hei"/>
        <family val="2"/>
      </rPr>
      <t xml:space="preserve">完了予定日 </t>
    </r>
    <r>
      <rPr>
        <sz val="10"/>
        <rFont val="Meiryo"/>
        <family val="0"/>
        <charset val="1"/>
      </rPr>
      <t xml:space="preserve">2026/04/01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2027/03/31 </t>
    </r>
    <r>
      <rPr>
        <sz val="10"/>
        <rFont val="WenQuanYi Zen Hei"/>
        <family val="2"/>
      </rPr>
      <t xml:space="preserve">かつ 完了予定日＜今月（＝</t>
    </r>
    <r>
      <rPr>
        <sz val="10"/>
        <rFont val="Meiryo"/>
        <family val="0"/>
        <charset val="1"/>
      </rPr>
      <t xml:space="preserve">9/30</t>
    </r>
    <r>
      <rPr>
        <sz val="10"/>
        <rFont val="WenQuanYi Zen Hei"/>
        <family val="2"/>
      </rPr>
      <t xml:space="preserve">まで）</t>
    </r>
  </si>
  <si>
    <r>
      <rPr>
        <sz val="10"/>
        <rFont val="WenQuanYi Zen Hei"/>
        <family val="2"/>
      </rPr>
      <t xml:space="preserve">木材コーディネート／</t>
    </r>
    <r>
      <rPr>
        <sz val="10"/>
        <rFont val="Meiryo"/>
        <family val="0"/>
        <charset val="1"/>
      </rPr>
      <t xml:space="preserve">TREEBATON</t>
    </r>
    <r>
      <rPr>
        <sz val="10"/>
        <rFont val="WenQuanYi Zen Hei"/>
        <family val="2"/>
      </rPr>
      <t xml:space="preserve">／建築案件／</t>
    </r>
    <r>
      <rPr>
        <sz val="10"/>
        <rFont val="Meiryo"/>
        <family val="0"/>
        <charset val="1"/>
      </rPr>
      <t xml:space="preserve">OEM</t>
    </r>
  </si>
  <si>
    <t xml:space="preserve">除外</t>
  </si>
  <si>
    <r>
      <rPr>
        <sz val="10"/>
        <rFont val="WenQuanYi Zen Hei"/>
        <family val="2"/>
      </rPr>
      <t xml:space="preserve">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失注、テスト商談、＊原価管理用＊</t>
    </r>
  </si>
  <si>
    <t xml:space="preserve">■ 期間の取り方</t>
  </si>
  <si>
    <r>
      <rPr>
        <b val="true"/>
        <sz val="10"/>
        <color rgb="FF1A1A1A"/>
        <rFont val="Meiryo"/>
        <family val="0"/>
        <charset val="1"/>
      </rPr>
      <t xml:space="preserve">8</t>
    </r>
    <r>
      <rPr>
        <b val="true"/>
        <sz val="10"/>
        <color rgb="FF1A1A1A"/>
        <rFont val="WenQuanYi Zen Hei"/>
        <family val="2"/>
      </rPr>
      <t xml:space="preserve">月末 累計</t>
    </r>
  </si>
  <si>
    <r>
      <rPr>
        <sz val="10"/>
        <rFont val="WenQuanYi Zen Hei"/>
        <family val="2"/>
      </rPr>
      <t xml:space="preserve">完了予定月が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月〜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月の合計（</t>
    </r>
    <r>
      <rPr>
        <sz val="10"/>
        <rFont val="Meiryo"/>
        <family val="0"/>
        <charset val="1"/>
      </rPr>
      <t xml:space="preserve">98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84,199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</si>
  <si>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月末 累計</t>
    </r>
  </si>
  <si>
    <r>
      <rPr>
        <sz val="10"/>
        <rFont val="WenQuanYi Zen Hei"/>
        <family val="2"/>
      </rPr>
      <t xml:space="preserve">完了予定月が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月〜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月の合計（</t>
    </r>
    <r>
      <rPr>
        <sz val="10"/>
        <rFont val="Meiryo"/>
        <family val="0"/>
        <charset val="1"/>
      </rPr>
      <t xml:space="preserve">117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105,243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</si>
  <si>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月の実績</t>
    </r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</si>
  <si>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月末累計 − 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月末累計 ＝ 完了予定月が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月の合計（</t>
    </r>
    <r>
      <rPr>
        <sz val="10"/>
        <rFont val="Meiryo"/>
        <family val="0"/>
        <charset val="1"/>
      </rPr>
      <t xml:space="preserve">19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21,044</t>
    </r>
    <r>
      <rPr>
        <sz val="10"/>
        <rFont val="WenQuanYi Zen Hei"/>
        <family val="2"/>
      </rPr>
      <t xml:space="preserve">千円）</t>
    </r>
  </si>
  <si>
    <t xml:space="preserve">■ 前回版との違い</t>
  </si>
  <si>
    <t xml:space="preserve">データの性質</t>
  </si>
  <si>
    <r>
      <rPr>
        <sz val="10"/>
        <rFont val="WenQuanYi Zen Hei"/>
        <family val="2"/>
      </rPr>
      <t xml:space="preserve">このレポートは全</t>
    </r>
    <r>
      <rPr>
        <sz val="10"/>
        <rFont val="Meiryo"/>
        <family val="0"/>
        <charset val="1"/>
      </rPr>
      <t xml:space="preserve">117</t>
    </r>
    <r>
      <rPr>
        <sz val="10"/>
        <rFont val="WenQuanYi Zen Hei"/>
        <family val="2"/>
      </rPr>
      <t xml:space="preserve">件が確度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・フェーズ</t>
    </r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成約の「実績」のみ。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玉・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玉の区分がありません</t>
    </r>
  </si>
  <si>
    <t xml:space="preserve">構成の変更</t>
  </si>
  <si>
    <r>
      <rPr>
        <sz val="10"/>
        <rFont val="WenQuanYi Zen Hei"/>
        <family val="2"/>
      </rPr>
      <t xml:space="preserve">前回の②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玉／③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玉に代えて、②商談所有者別／③商談のきっかけ別 としています</t>
    </r>
  </si>
  <si>
    <t xml:space="preserve">対象の違い</t>
  </si>
  <si>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187</t>
    </r>
    <r>
      <rPr>
        <sz val="10"/>
        <rFont val="WenQuanYi Zen Hei"/>
        <family val="2"/>
      </rPr>
      <t xml:space="preserve">千円）が含まれます。前回の玉ベース版はコーデ</t>
    </r>
    <r>
      <rPr>
        <sz val="10"/>
        <rFont val="Meiryo"/>
        <family val="0"/>
        <charset val="1"/>
      </rPr>
      <t xml:space="preserve">TB</t>
    </r>
    <r>
      <rPr>
        <sz val="10"/>
        <rFont val="WenQuanYi Zen Hei"/>
        <family val="2"/>
      </rPr>
      <t xml:space="preserve">＋建築のみでした</t>
    </r>
  </si>
  <si>
    <t xml:space="preserve">■ 注意点</t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</si>
  <si>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月は</t>
    </r>
    <r>
      <rPr>
        <sz val="10"/>
        <rFont val="Meiryo"/>
        <family val="0"/>
        <charset val="1"/>
      </rPr>
      <t xml:space="preserve">26.9%</t>
    </r>
    <r>
      <rPr>
        <sz val="10"/>
        <rFont val="WenQuanYi Zen Hei"/>
        <family val="2"/>
      </rPr>
      <t xml:space="preserve">。上期平均</t>
    </r>
    <r>
      <rPr>
        <sz val="10"/>
        <rFont val="Meiryo"/>
        <family val="0"/>
        <charset val="1"/>
      </rPr>
      <t xml:space="preserve">41.4%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54.0%</t>
    </r>
    <r>
      <rPr>
        <sz val="10"/>
        <rFont val="WenQuanYi Zen Hei"/>
        <family val="2"/>
      </rPr>
      <t xml:space="preserve">を下回る</t>
    </r>
  </si>
  <si>
    <t xml:space="preserve">集中度</t>
  </si>
  <si>
    <r>
      <rPr>
        <sz val="10"/>
        <rFont val="Meiryo"/>
        <family val="0"/>
        <charset val="1"/>
      </rPr>
      <t xml:space="preserve">ATONA</t>
    </r>
    <r>
      <rPr>
        <sz val="10"/>
        <rFont val="WenQuanYi Zen Hei"/>
        <family val="2"/>
      </rPr>
      <t xml:space="preserve">・ホウライ・素朴屋・</t>
    </r>
    <r>
      <rPr>
        <sz val="10"/>
        <rFont val="Meiryo"/>
        <family val="0"/>
        <charset val="1"/>
      </rPr>
      <t xml:space="preserve">CUE</t>
    </r>
    <r>
      <rPr>
        <sz val="10"/>
        <rFont val="WenQuanYi Zen Hei"/>
        <family val="2"/>
      </rPr>
      <t xml:space="preserve">・内閣府の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件で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月実績の</t>
    </r>
    <r>
      <rPr>
        <sz val="10"/>
        <rFont val="Meiryo"/>
        <family val="0"/>
        <charset val="1"/>
      </rPr>
      <t xml:space="preserve">92.4%</t>
    </r>
  </si>
  <si>
    <t xml:space="preserve">取引先の偏り</t>
  </si>
  <si>
    <r>
      <rPr>
        <sz val="10"/>
        <rFont val="WenQuanYi Zen Hei"/>
        <family val="2"/>
      </rPr>
      <t xml:space="preserve">乃村工藝社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8,783 </t>
    </r>
    <r>
      <rPr>
        <sz val="10"/>
        <rFont val="WenQuanYi Zen Hei"/>
        <family val="2"/>
      </rPr>
      <t xml:space="preserve">で全体の</t>
    </r>
    <r>
      <rPr>
        <sz val="10"/>
        <rFont val="Meiryo"/>
        <family val="0"/>
        <charset val="1"/>
      </rPr>
      <t xml:space="preserve">41.7%</t>
    </r>
  </si>
  <si>
    <t xml:space="preserve">所有者の偏り</t>
  </si>
  <si>
    <r>
      <rPr>
        <sz val="10"/>
        <rFont val="WenQuanYi Zen Hei"/>
        <family val="2"/>
      </rPr>
      <t xml:space="preserve">片岡・安達・落合の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名で</t>
    </r>
    <r>
      <rPr>
        <sz val="10"/>
        <rFont val="Meiryo"/>
        <family val="0"/>
        <charset val="1"/>
      </rPr>
      <t xml:space="preserve">95.6%</t>
    </r>
  </si>
  <si>
    <t xml:space="preserve">新規の入口</t>
  </si>
  <si>
    <r>
      <rPr>
        <sz val="10"/>
        <rFont val="WenQuanYi Zen Hei"/>
        <family val="2"/>
      </rPr>
      <t xml:space="preserve">営業</t>
    </r>
    <r>
      <rPr>
        <sz val="10"/>
        <rFont val="Meiryo"/>
        <family val="0"/>
        <charset val="1"/>
      </rPr>
      <t xml:space="preserve">G(</t>
    </r>
    <r>
      <rPr>
        <sz val="10"/>
        <rFont val="WenQuanYi Zen Hei"/>
        <family val="2"/>
      </rPr>
      <t xml:space="preserve">新規</t>
    </r>
    <r>
      <rPr>
        <sz val="10"/>
        <rFont val="Meiryo"/>
        <family val="0"/>
        <charset val="1"/>
      </rPr>
      <t xml:space="preserve">)1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38</t>
    </r>
    <r>
      <rPr>
        <sz val="10"/>
        <rFont val="WenQuanYi Zen Hei"/>
        <family val="2"/>
      </rPr>
      <t xml:space="preserve">千円、</t>
    </r>
    <r>
      <rPr>
        <sz val="10"/>
        <rFont val="Meiryo"/>
        <family val="0"/>
        <charset val="1"/>
      </rPr>
      <t xml:space="preserve">eTREE</t>
    </r>
    <r>
      <rPr>
        <sz val="10"/>
        <rFont val="WenQuanYi Zen Hei"/>
        <family val="2"/>
      </rPr>
      <t xml:space="preserve">経由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千円。新しい入口からの実績はほぼゼロ</t>
    </r>
  </si>
  <si>
    <t xml:space="preserve">リリカラ</t>
  </si>
  <si>
    <r>
      <rPr>
        <sz val="10"/>
        <rFont val="WenQuanYi Zen Hei"/>
        <family val="2"/>
      </rPr>
      <t xml:space="preserve">このレポートに該当なし。</t>
    </r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に商談が登録されていない可能性がある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</si>
</sst>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0"/>
    <numFmt numFmtId="166" formatCode="\+#,##0;\-#,##0;0"/>
    <numFmt numFmtId="167" formatCode="\+0.0%;\-0.0%;0.0%"/>
    <numFmt numFmtId="168" formatCode="#,##0"/>
    <numFmt numFmtId="169" formatCode="0.0%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2D"/>
      <name val="Meiryo"/>
      <family val="0"/>
      <charset val="1"/>
    </font>
    <font>
      <b val="true"/>
      <sz val="16"/>
      <color rgb="FF2C5F2D"/>
      <name val="WenQuanYi Zen Hei"/>
      <family val="2"/>
    </font>
    <font>
      <sz val="9"/>
      <color rgb="FF767676"/>
      <name val="WenQuanYi Zen Hei"/>
      <family val="2"/>
    </font>
    <font>
      <sz val="9"/>
      <color rgb="FF767676"/>
      <name val="Meiryo"/>
      <family val="0"/>
      <charset val="1"/>
    </font>
    <font>
      <b val="true"/>
      <sz val="12.5"/>
      <color rgb="FF2C5F2D"/>
      <name val="WenQuanYi Zen Hei"/>
      <family val="2"/>
    </font>
    <font>
      <b val="true"/>
      <sz val="12.5"/>
      <color rgb="FF2C5F2D"/>
      <name val="Meiryo"/>
      <family val="0"/>
      <charset val="1"/>
    </font>
    <font>
      <b val="true"/>
      <sz val="9.5"/>
      <color rgb="FF767676"/>
      <name val="Meiryo"/>
      <family val="0"/>
      <charset val="1"/>
    </font>
    <font>
      <b val="true"/>
      <sz val="9.5"/>
      <color rgb="FF767676"/>
      <name val="WenQuanYi Zen Hei"/>
      <family val="2"/>
    </font>
    <font>
      <b val="true"/>
      <sz val="24"/>
      <color rgb="FF2E5C8A"/>
      <name val="Meiryo"/>
      <family val="0"/>
      <charset val="1"/>
    </font>
    <font>
      <b val="true"/>
      <sz val="24"/>
      <color rgb="FF2C5F2D"/>
      <name val="Meiryo"/>
      <family val="0"/>
      <charset val="1"/>
    </font>
    <font>
      <sz val="8.5"/>
      <color rgb="FF767676"/>
      <name val="Meiryo"/>
      <family val="0"/>
      <charset val="1"/>
    </font>
    <font>
      <sz val="8.5"/>
      <color rgb="FF767676"/>
      <name val="WenQuanYi Zen Hei"/>
      <family val="2"/>
    </font>
    <font>
      <b val="true"/>
      <sz val="10.5"/>
      <color rgb="FF1A1A1A"/>
      <name val="Meiryo"/>
      <family val="0"/>
      <charset val="1"/>
    </font>
    <font>
      <b val="true"/>
      <sz val="10.5"/>
      <color rgb="FF1A1A1A"/>
      <name val="WenQuanYi Zen Hei"/>
      <family val="2"/>
    </font>
    <font>
      <b val="true"/>
      <sz val="22"/>
      <color rgb="FF1A1A1A"/>
      <name val="Meiryo"/>
      <family val="0"/>
      <charset val="1"/>
    </font>
    <font>
      <b val="true"/>
      <sz val="22"/>
      <color rgb="FF2C5F2D"/>
      <name val="Meiryo"/>
      <family val="0"/>
      <charset val="1"/>
    </font>
    <font>
      <b val="true"/>
      <sz val="22"/>
      <color rgb="FFB04A3C"/>
      <name val="Meiryo"/>
      <family val="0"/>
      <charset val="1"/>
    </font>
    <font>
      <b val="true"/>
      <sz val="10"/>
      <color rgb="FFC87941"/>
      <name val="Meiryo"/>
      <family val="0"/>
      <charset val="1"/>
    </font>
    <font>
      <b val="true"/>
      <sz val="10"/>
      <color rgb="FFC87941"/>
      <name val="WenQuanYi Zen Hei"/>
      <family val="2"/>
    </font>
    <font>
      <b val="true"/>
      <sz val="10"/>
      <color rgb="FFB04A3C"/>
      <name val="WenQuanYi Zen Hei"/>
      <family val="2"/>
    </font>
    <font>
      <b val="true"/>
      <sz val="10"/>
      <color rgb="FFB04A3C"/>
      <name val="Meiryo"/>
      <family val="0"/>
      <charset val="1"/>
    </font>
    <font>
      <b val="true"/>
      <sz val="24"/>
      <color rgb="FF1A1A1A"/>
      <name val="Meiryo"/>
      <family val="0"/>
      <charset val="1"/>
    </font>
    <font>
      <b val="true"/>
      <sz val="22"/>
      <color rgb="FFC87941"/>
      <name val="Meiryo"/>
      <family val="0"/>
      <charset val="1"/>
    </font>
    <font>
      <b val="true"/>
      <sz val="9.5"/>
      <color rgb="FFFFFFFF"/>
      <name val="WenQuanYi Zen Hei"/>
      <family val="2"/>
    </font>
    <font>
      <b val="true"/>
      <sz val="9.5"/>
      <color rgb="FFFFFFFF"/>
      <name val="Meiryo"/>
      <family val="0"/>
      <charset val="1"/>
    </font>
    <font>
      <b val="true"/>
      <sz val="9.5"/>
      <color rgb="FFB04A3C"/>
      <name val="WenQuanYi Zen Hei"/>
      <family val="2"/>
    </font>
    <font>
      <sz val="9.5"/>
      <color rgb="FF1A1A1A"/>
      <name val="WenQuanYi Zen Hei"/>
      <family val="2"/>
    </font>
    <font>
      <sz val="9.5"/>
      <color rgb="FFB04A3C"/>
      <name val="WenQuanYi Zen Hei"/>
      <family val="2"/>
    </font>
    <font>
      <sz val="9.5"/>
      <color rgb="FFB04A3C"/>
      <name val="Meiryo"/>
      <family val="0"/>
      <charset val="1"/>
    </font>
    <font>
      <sz val="9.5"/>
      <color rgb="FF1A1A1A"/>
      <name val="Meiryo"/>
      <family val="0"/>
      <charset val="1"/>
    </font>
    <font>
      <b val="true"/>
      <sz val="9.5"/>
      <color rgb="FF2C5F2D"/>
      <name val="Meiryo"/>
      <family val="0"/>
      <charset val="1"/>
    </font>
    <font>
      <b val="true"/>
      <sz val="9.5"/>
      <color rgb="FF2C5F2D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2C5F2D"/>
      <name val="Meiryo"/>
      <family val="0"/>
      <charset val="1"/>
    </font>
    <font>
      <b val="true"/>
      <sz val="13"/>
      <color rgb="FF2C5F2D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b val="true"/>
      <sz val="10"/>
      <color rgb="FF2C5F2D"/>
      <name val="Meiryo"/>
      <family val="0"/>
      <charset val="1"/>
    </font>
    <font>
      <b val="true"/>
      <sz val="10"/>
      <color rgb="FF2C5F2D"/>
      <name val="WenQuanYi Zen Hei"/>
      <family val="2"/>
    </font>
    <font>
      <b val="true"/>
      <sz val="10"/>
      <color rgb="FF1A1A1A"/>
      <name val="WenQuanYi Zen Hei"/>
      <family val="2"/>
    </font>
    <font>
      <sz val="10"/>
      <color rgb="FF1A1A1A"/>
      <name val="Meiryo"/>
      <family val="0"/>
      <charset val="1"/>
    </font>
    <font>
      <b val="true"/>
      <sz val="10"/>
      <color rgb="FF1A1A1A"/>
      <name val="Meiry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DF1F7"/>
        <bgColor rgb="FFEBF3EA"/>
      </patternFill>
    </fill>
    <fill>
      <patternFill patternType="solid">
        <fgColor rgb="FFEBF3EA"/>
        <bgColor rgb="FFEDF1F7"/>
      </patternFill>
    </fill>
    <fill>
      <patternFill patternType="solid">
        <fgColor rgb="FFF4F6F1"/>
        <bgColor rgb="FFFAFBF8"/>
      </patternFill>
    </fill>
    <fill>
      <patternFill patternType="solid">
        <fgColor rgb="FFFBEDEB"/>
        <bgColor rgb="FFF4F6F1"/>
      </patternFill>
    </fill>
    <fill>
      <patternFill patternType="solid">
        <fgColor rgb="FF2C5F2D"/>
        <bgColor rgb="FF2E5C8A"/>
      </patternFill>
    </fill>
    <fill>
      <patternFill patternType="solid">
        <fgColor rgb="FFFAFBF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FDAE8"/>
      </left>
      <right style="thin">
        <color rgb="FFCFDAE8"/>
      </right>
      <top style="thin">
        <color rgb="FFCFDAE8"/>
      </top>
      <bottom style="thin">
        <color rgb="FFCFDAE8"/>
      </bottom>
      <diagonal/>
    </border>
    <border diagonalUp="false" diagonalDown="false">
      <left style="thin">
        <color rgb="FFC3DCC2"/>
      </left>
      <right style="thin">
        <color rgb="FFC3DCC2"/>
      </right>
      <top style="thin">
        <color rgb="FFC3DCC2"/>
      </top>
      <bottom style="thin">
        <color rgb="FFC3DCC2"/>
      </bottom>
      <diagonal/>
    </border>
    <border diagonalUp="false" diagonalDown="false">
      <left style="thin">
        <color rgb="FFDCE3D5"/>
      </left>
      <right style="thin">
        <color rgb="FFDCE3D5"/>
      </right>
      <top style="thin">
        <color rgb="FFDCE3D5"/>
      </top>
      <bottom style="thin">
        <color rgb="FFDCE3D5"/>
      </bottom>
      <diagonal/>
    </border>
    <border diagonalUp="false" diagonalDown="false">
      <left style="thin">
        <color rgb="FFEBCFC9"/>
      </left>
      <right style="thin">
        <color rgb="FFEBCFC9"/>
      </right>
      <top style="thin">
        <color rgb="FFEBCFC9"/>
      </top>
      <bottom style="thin">
        <color rgb="FFEBC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CC2"/>
      <rgbColor rgb="FF878787"/>
      <rgbColor rgb="FF8E5BC4"/>
      <rgbColor rgb="FFB04A3C"/>
      <rgbColor rgb="FFFAFBF8"/>
      <rgbColor rgb="FFEBF3EA"/>
      <rgbColor rgb="FF660066"/>
      <rgbColor rgb="FFC87941"/>
      <rgbColor rgb="FF0066CC"/>
      <rgbColor rgb="FFCFDA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DCE3D5"/>
      <rgbColor rgb="FFF4F6F1"/>
      <rgbColor rgb="FFD9D9D9"/>
      <rgbColor rgb="FFFBEDEB"/>
      <rgbColor rgb="FFCC99FF"/>
      <rgbColor rgb="FFEBCFC9"/>
      <rgbColor rgb="FF3B7DD8"/>
      <rgbColor rgb="FF33CCCC"/>
      <rgbColor rgb="FF99CC00"/>
      <rgbColor rgb="FFFFCC00"/>
      <rgbColor rgb="FFE09B22"/>
      <rgbColor rgb="FFFF6600"/>
      <rgbColor rgb="FF767676"/>
      <rgbColor rgb="FF4F81BD"/>
      <rgbColor rgb="FF003366"/>
      <rgbColor rgb="FF2E8B57"/>
      <rgbColor rgb="FF003300"/>
      <rgbColor rgb="FF2C5F2D"/>
      <rgbColor rgb="FF993300"/>
      <rgbColor rgb="FFC0453E"/>
      <rgbColor rgb="FF2E5C8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月別の成約実績（26年度 上期）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グラフ用データ!B4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グラフ用データ!$A$5:$A$10</c:f>
              <c:strCache>
                <c:ptCount val="6"/>
                <c:pt idx="0">
                  <c:v>2026年04月</c:v>
                </c:pt>
                <c:pt idx="1">
                  <c:v>2026年05月</c:v>
                </c:pt>
                <c:pt idx="2">
                  <c:v>2026年06月</c:v>
                </c:pt>
                <c:pt idx="3">
                  <c:v>2026年07月</c:v>
                </c:pt>
                <c:pt idx="4">
                  <c:v>2026年08月</c:v>
                </c:pt>
                <c:pt idx="5">
                  <c:v>2026年09月</c:v>
                </c:pt>
              </c:strCache>
            </c:strRef>
          </c:cat>
          <c:val>
            <c:numRef>
              <c:f>グラフ用データ!$B$5:$B$10</c:f>
              <c:numCache>
                <c:formatCode>#,##0;\-#,##0;0</c:formatCode>
                <c:ptCount val="6"/>
                <c:pt idx="0">
                  <c:v>13688</c:v>
                </c:pt>
                <c:pt idx="1">
                  <c:v>29952</c:v>
                </c:pt>
                <c:pt idx="2">
                  <c:v>21170</c:v>
                </c:pt>
                <c:pt idx="3">
                  <c:v>15124</c:v>
                </c:pt>
                <c:pt idx="4">
                  <c:v>4265</c:v>
                </c:pt>
                <c:pt idx="5">
                  <c:v>21044</c:v>
                </c:pt>
              </c:numCache>
            </c:numRef>
          </c:val>
        </c:ser>
        <c:ser>
          <c:idx val="1"/>
          <c:order val="1"/>
          <c:tx>
            <c:strRef>
              <c:f>グラフ用データ!C4</c:f>
              <c:strCache>
                <c:ptCount val="1"/>
                <c:pt idx="0">
                  <c:v>粗利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グラフ用データ!$A$5:$A$10</c:f>
              <c:strCache>
                <c:ptCount val="6"/>
                <c:pt idx="0">
                  <c:v>2026年04月</c:v>
                </c:pt>
                <c:pt idx="1">
                  <c:v>2026年05月</c:v>
                </c:pt>
                <c:pt idx="2">
                  <c:v>2026年06月</c:v>
                </c:pt>
                <c:pt idx="3">
                  <c:v>2026年07月</c:v>
                </c:pt>
                <c:pt idx="4">
                  <c:v>2026年08月</c:v>
                </c:pt>
                <c:pt idx="5">
                  <c:v>2026年09月</c:v>
                </c:pt>
              </c:strCache>
            </c:strRef>
          </c:cat>
          <c:val>
            <c:numRef>
              <c:f>グラフ用データ!$C$5:$C$10</c:f>
              <c:numCache>
                <c:formatCode>#,##0;\-#,##0;0</c:formatCode>
                <c:ptCount val="6"/>
                <c:pt idx="0">
                  <c:v>1820</c:v>
                </c:pt>
                <c:pt idx="1">
                  <c:v>21720</c:v>
                </c:pt>
                <c:pt idx="2">
                  <c:v>3886</c:v>
                </c:pt>
                <c:pt idx="3">
                  <c:v>8183</c:v>
                </c:pt>
                <c:pt idx="4">
                  <c:v>2303</c:v>
                </c:pt>
                <c:pt idx="5">
                  <c:v>5665</c:v>
                </c:pt>
              </c:numCache>
            </c:numRef>
          </c:val>
        </c:ser>
        <c:gapWidth val="70"/>
        <c:overlap val="0"/>
        <c:axId val="60170115"/>
        <c:axId val="86202964"/>
      </c:barChart>
      <c:catAx>
        <c:axId val="60170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02964"/>
        <c:crosses val="autoZero"/>
        <c:auto val="1"/>
        <c:lblAlgn val="ctr"/>
        <c:lblOffset val="100"/>
        <c:noMultiLvlLbl val="0"/>
      </c:catAx>
      <c:valAx>
        <c:axId val="86202964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70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9月の実績｜商談所有者別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9b2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b7dd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e5bc4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eparator>; </c:separator>
            <c:showLeaderLines val="1"/>
          </c:dLbls>
          <c:cat>
            <c:strRef>
              <c:f>グラフ用データ!$A$13:$A$16</c:f>
              <c:strCache>
                <c:ptCount val="4"/>
                <c:pt idx="0">
                  <c:v>片岡 雅貴</c:v>
                </c:pt>
                <c:pt idx="1">
                  <c:v>安達 芳樹</c:v>
                </c:pt>
                <c:pt idx="2">
                  <c:v>落合 あゆみ</c:v>
                </c:pt>
                <c:pt idx="3">
                  <c:v>その他（恒冨・五江渕・森口）</c:v>
                </c:pt>
              </c:strCache>
            </c:strRef>
          </c:cat>
          <c:val>
            <c:numRef>
              <c:f>グラフ用データ!$B$13:$B$16</c:f>
              <c:numCache>
                <c:formatCode>#,##0;\-#,##0;0</c:formatCode>
                <c:ptCount val="4"/>
                <c:pt idx="0">
                  <c:v>9006</c:v>
                </c:pt>
                <c:pt idx="1">
                  <c:v>6334</c:v>
                </c:pt>
                <c:pt idx="2">
                  <c:v>4774</c:v>
                </c:pt>
                <c:pt idx="3">
                  <c:v>928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9月の実績｜商談のきっかけ別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9b2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453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e5bc4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eparator>; </c:separator>
            <c:showLeaderLines val="1"/>
          </c:dLbls>
          <c:cat>
            <c:strRef>
              <c:f>グラフ用データ!$A$19:$A$22</c:f>
              <c:strCache>
                <c:ptCount val="4"/>
                <c:pt idx="0">
                  <c:v>当社/営業G(リピート)</c:v>
                </c:pt>
                <c:pt idx="1">
                  <c:v>顧客/取引先リピート</c:v>
                </c:pt>
                <c:pt idx="2">
                  <c:v>当社/商談前営業</c:v>
                </c:pt>
                <c:pt idx="3">
                  <c:v>その他（追加受注・新規・eTREE 他）</c:v>
                </c:pt>
              </c:strCache>
            </c:strRef>
          </c:cat>
          <c:val>
            <c:numRef>
              <c:f>グラフ用データ!$B$19:$B$22</c:f>
              <c:numCache>
                <c:formatCode>#,##0;\-#,##0;0</c:formatCode>
                <c:ptCount val="4"/>
                <c:pt idx="0">
                  <c:v>9085</c:v>
                </c:pt>
                <c:pt idx="1">
                  <c:v>6443</c:v>
                </c:pt>
                <c:pt idx="2">
                  <c:v>4950</c:v>
                </c:pt>
                <c:pt idx="3">
                  <c:v>564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9</xdr:col>
      <xdr:colOff>891720</xdr:colOff>
      <xdr:row>29</xdr:row>
      <xdr:rowOff>68760</xdr:rowOff>
    </xdr:to>
    <xdr:graphicFrame>
      <xdr:nvGraphicFramePr>
        <xdr:cNvPr id="0" name="Chart 1"/>
        <xdr:cNvGraphicFramePr/>
      </xdr:nvGraphicFramePr>
      <xdr:xfrm>
        <a:off x="195480" y="40006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9</xdr:col>
      <xdr:colOff>891720</xdr:colOff>
      <xdr:row>53</xdr:row>
      <xdr:rowOff>68760</xdr:rowOff>
    </xdr:to>
    <xdr:graphicFrame>
      <xdr:nvGraphicFramePr>
        <xdr:cNvPr id="1" name="Chart 2"/>
        <xdr:cNvGraphicFramePr/>
      </xdr:nvGraphicFramePr>
      <xdr:xfrm>
        <a:off x="195480" y="926784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9</xdr:col>
      <xdr:colOff>891720</xdr:colOff>
      <xdr:row>76</xdr:row>
      <xdr:rowOff>68760</xdr:rowOff>
    </xdr:to>
    <xdr:graphicFrame>
      <xdr:nvGraphicFramePr>
        <xdr:cNvPr id="2" name="Chart 3"/>
        <xdr:cNvGraphicFramePr/>
      </xdr:nvGraphicFramePr>
      <xdr:xfrm>
        <a:off x="195480" y="142588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3" min="2" style="0" width="11.4"/>
    <col collapsed="false" customWidth="true" hidden="false" outlineLevel="0" max="14" min="14" style="0" width="2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7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6.5" hidden="false" customHeight="true" outlineLevel="0" collapsed="false">
      <c r="B7" s="4" t="s">
        <v>4</v>
      </c>
      <c r="C7" s="4"/>
      <c r="D7" s="4"/>
      <c r="E7" s="4" t="s">
        <v>5</v>
      </c>
      <c r="F7" s="4"/>
      <c r="G7" s="4"/>
      <c r="H7" s="5" t="s">
        <v>6</v>
      </c>
      <c r="I7" s="5"/>
      <c r="J7" s="5"/>
      <c r="K7" s="6" t="s">
        <v>7</v>
      </c>
      <c r="L7" s="6"/>
      <c r="M7" s="6"/>
    </row>
    <row r="8" customFormat="false" ht="33.75" hidden="false" customHeight="true" outlineLevel="0" collapsed="false">
      <c r="B8" s="7" t="n">
        <f aca="false">SUM(月別推移!$C$4:$C$9)-INDEX(月別推移!$C$4:$C$9,6)</f>
        <v>84199</v>
      </c>
      <c r="C8" s="7"/>
      <c r="D8" s="7"/>
      <c r="E8" s="7" t="n">
        <f aca="false">SUM(月別推移!$C$4:$C$9)</f>
        <v>105243</v>
      </c>
      <c r="F8" s="7"/>
      <c r="G8" s="7"/>
      <c r="H8" s="8" t="n">
        <f aca="false">INDEX(月別推移!$C$4:$C$9,6)</f>
        <v>21044</v>
      </c>
      <c r="I8" s="8"/>
      <c r="J8" s="8"/>
      <c r="K8" s="9" t="n">
        <f aca="false">INDEX(月別推移!$C$4:$C$9,6)/(SUM(月別推移!$C$4:$C$9)-INDEX(月別推移!$C$4:$C$9,6))</f>
        <v>0.249931709402725</v>
      </c>
      <c r="L8" s="9"/>
      <c r="M8" s="9"/>
    </row>
    <row r="9" customFormat="false" ht="24" hidden="false" customHeight="true" outlineLevel="0" collapsed="false">
      <c r="B9" s="10" t="s">
        <v>8</v>
      </c>
      <c r="C9" s="10"/>
      <c r="D9" s="10"/>
      <c r="E9" s="10" t="s">
        <v>9</v>
      </c>
      <c r="F9" s="10"/>
      <c r="G9" s="10"/>
      <c r="H9" s="11" t="s">
        <v>10</v>
      </c>
      <c r="I9" s="11"/>
      <c r="J9" s="11"/>
      <c r="K9" s="11" t="s">
        <v>11</v>
      </c>
      <c r="L9" s="11"/>
      <c r="M9" s="11"/>
    </row>
    <row r="11" customFormat="false" ht="19.5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customFormat="false" ht="16.5" hidden="false" customHeight="true" outlineLevel="0" collapsed="false">
      <c r="B12" s="13" t="s">
        <v>13</v>
      </c>
      <c r="C12" s="13"/>
      <c r="D12" s="13"/>
      <c r="E12" s="13" t="s">
        <v>14</v>
      </c>
      <c r="F12" s="13"/>
      <c r="G12" s="13"/>
      <c r="H12" s="6" t="s">
        <v>15</v>
      </c>
      <c r="I12" s="6"/>
      <c r="J12" s="6"/>
      <c r="K12" s="14" t="s">
        <v>16</v>
      </c>
      <c r="L12" s="14"/>
      <c r="M12" s="14"/>
    </row>
    <row r="13" customFormat="false" ht="33.75" hidden="false" customHeight="true" outlineLevel="0" collapsed="false">
      <c r="B13" s="15" t="n">
        <f aca="false">INDEX(月別推移!$B$4:$B$9,6)</f>
        <v>19</v>
      </c>
      <c r="C13" s="15"/>
      <c r="D13" s="15"/>
      <c r="E13" s="16" t="n">
        <f aca="false">INDEX(月別推移!$C$4:$C$9,6)/INDEX(月別推移!$B$4:$B$9,6)</f>
        <v>1107.57894736842</v>
      </c>
      <c r="F13" s="16"/>
      <c r="G13" s="16"/>
      <c r="H13" s="17" t="n">
        <f aca="false">INDEX(月別推移!$D$4:$D$9,6)</f>
        <v>5665</v>
      </c>
      <c r="I13" s="17"/>
      <c r="J13" s="17"/>
      <c r="K13" s="18" t="n">
        <f aca="false">INDEX(月別推移!$D$4:$D$9,6)/INDEX(月別推移!$C$4:$C$9,6)</f>
        <v>0.269197871127162</v>
      </c>
      <c r="L13" s="18"/>
      <c r="M13" s="18"/>
    </row>
    <row r="14" customFormat="false" ht="24" hidden="false" customHeight="true" outlineLevel="0" collapsed="false">
      <c r="B14" s="19" t="s">
        <v>17</v>
      </c>
      <c r="C14" s="19"/>
      <c r="D14" s="19"/>
      <c r="E14" s="19" t="s">
        <v>18</v>
      </c>
      <c r="F14" s="19"/>
      <c r="G14" s="19"/>
      <c r="H14" s="11" t="s">
        <v>19</v>
      </c>
      <c r="I14" s="11"/>
      <c r="J14" s="11"/>
      <c r="K14" s="20" t="s">
        <v>20</v>
      </c>
      <c r="L14" s="20"/>
      <c r="M14" s="20"/>
    </row>
    <row r="31" customFormat="false" ht="21.75" hidden="false" customHeight="true" outlineLevel="0" collapsed="false">
      <c r="B31" s="21" t="s">
        <v>21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customFormat="false" ht="21.75" hidden="false" customHeight="true" outlineLevel="0" collapsed="false">
      <c r="B32" s="22" t="s">
        <v>22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4" customFormat="false" ht="27" hidden="false" customHeight="true" outlineLevel="0" collapsed="false">
      <c r="B34" s="3" t="s">
        <v>23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5" hidden="false" customHeight="true" outlineLevel="0" collapsed="false">
      <c r="B35" s="2" t="s">
        <v>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6.5" hidden="false" customHeight="true" outlineLevel="0" collapsed="false">
      <c r="B36" s="6" t="s">
        <v>25</v>
      </c>
      <c r="C36" s="6"/>
      <c r="D36" s="6"/>
      <c r="E36" s="6" t="s">
        <v>26</v>
      </c>
      <c r="F36" s="6"/>
      <c r="G36" s="6"/>
      <c r="H36" s="6" t="s">
        <v>27</v>
      </c>
      <c r="I36" s="6"/>
      <c r="J36" s="6"/>
      <c r="K36" s="13" t="s">
        <v>28</v>
      </c>
      <c r="L36" s="13"/>
      <c r="M36" s="13"/>
    </row>
    <row r="37" customFormat="false" ht="33.75" hidden="false" customHeight="true" outlineLevel="0" collapsed="false">
      <c r="B37" s="23" t="n">
        <f aca="false">SUMIF('9月 実績明細'!$F$4:$F$22,"片岡 雅貴",'9月 実績明細'!$C$4:$C$22)</f>
        <v>9006</v>
      </c>
      <c r="C37" s="23"/>
      <c r="D37" s="23"/>
      <c r="E37" s="23" t="n">
        <f aca="false">SUMIF('9月 実績明細'!$F$4:$F$22,"安達 芳樹",'9月 実績明細'!$C$4:$C$22)</f>
        <v>6334</v>
      </c>
      <c r="F37" s="23"/>
      <c r="G37" s="23"/>
      <c r="H37" s="23" t="n">
        <f aca="false">SUMIF('9月 実績明細'!$F$4:$F$22,"落合 あゆみ",'9月 実績明細'!$C$4:$C$22)</f>
        <v>4774</v>
      </c>
      <c r="I37" s="23"/>
      <c r="J37" s="23"/>
      <c r="K37" s="24" t="n">
        <f aca="false">グラフ用データ!B16</f>
        <v>928</v>
      </c>
      <c r="L37" s="24"/>
      <c r="M37" s="24"/>
    </row>
    <row r="38" customFormat="false" ht="24" hidden="false" customHeight="true" outlineLevel="0" collapsed="false">
      <c r="B38" s="11" t="s">
        <v>29</v>
      </c>
      <c r="C38" s="11"/>
      <c r="D38" s="11"/>
      <c r="E38" s="11" t="s">
        <v>30</v>
      </c>
      <c r="F38" s="11"/>
      <c r="G38" s="11"/>
      <c r="H38" s="11" t="s">
        <v>31</v>
      </c>
      <c r="I38" s="11"/>
      <c r="J38" s="11"/>
      <c r="K38" s="25" t="s">
        <v>32</v>
      </c>
      <c r="L38" s="25"/>
      <c r="M38" s="25"/>
    </row>
    <row r="55" customFormat="false" ht="21.75" hidden="false" customHeight="true" outlineLevel="0" collapsed="false">
      <c r="B55" s="26" t="s">
        <v>33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7" customFormat="false" ht="27" hidden="false" customHeight="true" outlineLevel="0" collapsed="false">
      <c r="B57" s="3" t="s">
        <v>34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5" hidden="false" customHeight="true" outlineLevel="0" collapsed="false">
      <c r="B58" s="2" t="s">
        <v>35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6.5" hidden="false" customHeight="true" outlineLevel="0" collapsed="false">
      <c r="B59" s="6" t="s">
        <v>36</v>
      </c>
      <c r="C59" s="6"/>
      <c r="D59" s="6"/>
      <c r="E59" s="6" t="s">
        <v>37</v>
      </c>
      <c r="F59" s="6"/>
      <c r="G59" s="6"/>
      <c r="H59" s="13" t="s">
        <v>38</v>
      </c>
      <c r="I59" s="13"/>
      <c r="J59" s="13"/>
      <c r="K59" s="13" t="s">
        <v>39</v>
      </c>
      <c r="L59" s="13"/>
      <c r="M59" s="13"/>
    </row>
    <row r="60" customFormat="false" ht="33.75" hidden="false" customHeight="true" outlineLevel="0" collapsed="false">
      <c r="B60" s="17" t="n">
        <f aca="false">SUMIF('9月 実績明細'!$G$4:$G$22,"当社/営業G(リピート)",'9月 実績明細'!$C$4:$C$22)</f>
        <v>9085</v>
      </c>
      <c r="C60" s="17"/>
      <c r="D60" s="17"/>
      <c r="E60" s="17" t="n">
        <f aca="false">SUMIF('9月 実績明細'!$G$4:$G$22,"顧客/取引先リピート",'9月 実績明細'!$C$4:$C$22)</f>
        <v>6443</v>
      </c>
      <c r="F60" s="17"/>
      <c r="G60" s="17"/>
      <c r="H60" s="27" t="n">
        <f aca="false">SUMIF('9月 実績明細'!$G$4:$G$22,"当社/商談前営業",'9月 実績明細'!$C$4:$C$22)</f>
        <v>4950</v>
      </c>
      <c r="I60" s="27"/>
      <c r="J60" s="27"/>
      <c r="K60" s="16" t="n">
        <f aca="false">グラフ用データ!B22</f>
        <v>564</v>
      </c>
      <c r="L60" s="16"/>
      <c r="M60" s="16"/>
    </row>
    <row r="61" customFormat="false" ht="24" hidden="false" customHeight="true" outlineLevel="0" collapsed="false">
      <c r="B61" s="11" t="s">
        <v>40</v>
      </c>
      <c r="C61" s="11"/>
      <c r="D61" s="11"/>
      <c r="E61" s="11" t="s">
        <v>41</v>
      </c>
      <c r="F61" s="11"/>
      <c r="G61" s="11"/>
      <c r="H61" s="19" t="s">
        <v>42</v>
      </c>
      <c r="I61" s="19"/>
      <c r="J61" s="19"/>
      <c r="K61" s="25" t="s">
        <v>43</v>
      </c>
      <c r="L61" s="25"/>
      <c r="M61" s="25"/>
    </row>
    <row r="78" customFormat="false" ht="21.75" hidden="false" customHeight="true" outlineLevel="0" collapsed="false">
      <c r="B78" s="26" t="s">
        <v>44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 customFormat="false" ht="21.75" hidden="false" customHeight="true" outlineLevel="0" collapsed="false">
      <c r="B79" s="22" t="s">
        <v>45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1" customFormat="false" ht="27" hidden="false" customHeight="true" outlineLevel="0" collapsed="false">
      <c r="B81" s="3" t="s">
        <v>46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5" hidden="false" customHeight="true" outlineLevel="0" collapsed="false">
      <c r="B82" s="2" t="s">
        <v>47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19.5" hidden="false" customHeight="true" outlineLevel="0" collapsed="false">
      <c r="B83" s="28" t="s">
        <v>48</v>
      </c>
      <c r="C83" s="28"/>
      <c r="D83" s="28" t="s">
        <v>49</v>
      </c>
      <c r="E83" s="28"/>
      <c r="F83" s="28"/>
      <c r="G83" s="29" t="s">
        <v>50</v>
      </c>
      <c r="H83" s="29"/>
      <c r="I83" s="29"/>
      <c r="J83" s="28" t="s">
        <v>51</v>
      </c>
      <c r="K83" s="28"/>
      <c r="L83" s="28"/>
      <c r="M83" s="28"/>
    </row>
    <row r="84" customFormat="false" ht="45.75" hidden="false" customHeight="true" outlineLevel="0" collapsed="false">
      <c r="B84" s="30" t="s">
        <v>52</v>
      </c>
      <c r="C84" s="30"/>
      <c r="D84" s="31" t="s">
        <v>53</v>
      </c>
      <c r="E84" s="31"/>
      <c r="F84" s="31"/>
      <c r="G84" s="32" t="s">
        <v>54</v>
      </c>
      <c r="H84" s="32"/>
      <c r="I84" s="32"/>
      <c r="J84" s="31" t="s">
        <v>55</v>
      </c>
      <c r="K84" s="31"/>
      <c r="L84" s="31"/>
      <c r="M84" s="31"/>
    </row>
    <row r="85" customFormat="false" ht="45.75" hidden="false" customHeight="true" outlineLevel="0" collapsed="false">
      <c r="B85" s="33" t="s">
        <v>56</v>
      </c>
      <c r="C85" s="33"/>
      <c r="D85" s="34" t="s">
        <v>57</v>
      </c>
      <c r="E85" s="34"/>
      <c r="F85" s="34"/>
      <c r="G85" s="35" t="s">
        <v>58</v>
      </c>
      <c r="H85" s="35"/>
      <c r="I85" s="35"/>
      <c r="J85" s="35" t="s">
        <v>59</v>
      </c>
      <c r="K85" s="35"/>
      <c r="L85" s="35"/>
      <c r="M85" s="35"/>
    </row>
    <row r="86" customFormat="false" ht="45.75" hidden="false" customHeight="true" outlineLevel="0" collapsed="false">
      <c r="B86" s="36" t="s">
        <v>60</v>
      </c>
      <c r="C86" s="36"/>
      <c r="D86" s="34" t="s">
        <v>61</v>
      </c>
      <c r="E86" s="34"/>
      <c r="F86" s="34"/>
      <c r="G86" s="35" t="s">
        <v>62</v>
      </c>
      <c r="H86" s="35"/>
      <c r="I86" s="35"/>
      <c r="J86" s="34" t="s">
        <v>63</v>
      </c>
      <c r="K86" s="34"/>
      <c r="L86" s="34"/>
      <c r="M86" s="34"/>
    </row>
    <row r="87" customFormat="false" ht="45.75" hidden="false" customHeight="true" outlineLevel="0" collapsed="false">
      <c r="B87" s="36" t="s">
        <v>64</v>
      </c>
      <c r="C87" s="36"/>
      <c r="D87" s="34" t="s">
        <v>65</v>
      </c>
      <c r="E87" s="34"/>
      <c r="F87" s="34"/>
      <c r="G87" s="35" t="s">
        <v>66</v>
      </c>
      <c r="H87" s="35"/>
      <c r="I87" s="35"/>
      <c r="J87" s="35" t="s">
        <v>67</v>
      </c>
      <c r="K87" s="35"/>
      <c r="L87" s="35"/>
      <c r="M87" s="35"/>
    </row>
    <row r="88" customFormat="false" ht="45.75" hidden="false" customHeight="true" outlineLevel="0" collapsed="false">
      <c r="B88" s="33" t="s">
        <v>68</v>
      </c>
      <c r="C88" s="33"/>
      <c r="D88" s="34" t="s">
        <v>69</v>
      </c>
      <c r="E88" s="34"/>
      <c r="F88" s="34"/>
      <c r="G88" s="35" t="s">
        <v>70</v>
      </c>
      <c r="H88" s="35"/>
      <c r="I88" s="35"/>
      <c r="J88" s="34" t="s">
        <v>71</v>
      </c>
      <c r="K88" s="34"/>
      <c r="L88" s="34"/>
      <c r="M88" s="34"/>
    </row>
    <row r="89" customFormat="false" ht="45.75" hidden="false" customHeight="true" outlineLevel="0" collapsed="false">
      <c r="B89" s="36" t="s">
        <v>72</v>
      </c>
      <c r="C89" s="36"/>
      <c r="D89" s="35" t="s">
        <v>73</v>
      </c>
      <c r="E89" s="35"/>
      <c r="F89" s="35"/>
      <c r="G89" s="35" t="s">
        <v>74</v>
      </c>
      <c r="H89" s="35"/>
      <c r="I89" s="35"/>
      <c r="J89" s="34" t="s">
        <v>75</v>
      </c>
      <c r="K89" s="34"/>
      <c r="L89" s="34"/>
      <c r="M89" s="34"/>
    </row>
    <row r="91" customFormat="false" ht="21.75" hidden="false" customHeight="true" outlineLevel="0" collapsed="false">
      <c r="B91" s="21" t="s">
        <v>76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customFormat="false" ht="21.75" hidden="false" customHeight="true" outlineLevel="0" collapsed="false">
      <c r="B92" s="22" t="s">
        <v>77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</sheetData>
  <mergeCells count="94">
    <mergeCell ref="B2:M2"/>
    <mergeCell ref="B3:M3"/>
    <mergeCell ref="B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4:D14"/>
    <mergeCell ref="E14:G14"/>
    <mergeCell ref="H14:J14"/>
    <mergeCell ref="K14:M14"/>
    <mergeCell ref="B31:M31"/>
    <mergeCell ref="B32:M32"/>
    <mergeCell ref="B34:M34"/>
    <mergeCell ref="B35:M35"/>
    <mergeCell ref="B36:D36"/>
    <mergeCell ref="E36:G36"/>
    <mergeCell ref="H36:J36"/>
    <mergeCell ref="K36:M36"/>
    <mergeCell ref="B37:D37"/>
    <mergeCell ref="E37:G37"/>
    <mergeCell ref="H37:J37"/>
    <mergeCell ref="K37:M37"/>
    <mergeCell ref="B38:D38"/>
    <mergeCell ref="E38:G38"/>
    <mergeCell ref="H38:J38"/>
    <mergeCell ref="K38:M38"/>
    <mergeCell ref="B55:M55"/>
    <mergeCell ref="B57:M57"/>
    <mergeCell ref="B58:M58"/>
    <mergeCell ref="B59:D59"/>
    <mergeCell ref="E59:G59"/>
    <mergeCell ref="H59:J59"/>
    <mergeCell ref="K59:M59"/>
    <mergeCell ref="B60:D60"/>
    <mergeCell ref="E60:G60"/>
    <mergeCell ref="H60:J60"/>
    <mergeCell ref="K60:M60"/>
    <mergeCell ref="B61:D61"/>
    <mergeCell ref="E61:G61"/>
    <mergeCell ref="H61:J61"/>
    <mergeCell ref="K61:M61"/>
    <mergeCell ref="B78:M78"/>
    <mergeCell ref="B79:M79"/>
    <mergeCell ref="B81:M81"/>
    <mergeCell ref="B82:M82"/>
    <mergeCell ref="B83:C83"/>
    <mergeCell ref="D83:F83"/>
    <mergeCell ref="G83:I83"/>
    <mergeCell ref="J83:M83"/>
    <mergeCell ref="B84:C84"/>
    <mergeCell ref="D84:F84"/>
    <mergeCell ref="G84:I84"/>
    <mergeCell ref="J84:M84"/>
    <mergeCell ref="B85:C85"/>
    <mergeCell ref="D85:F85"/>
    <mergeCell ref="G85:I85"/>
    <mergeCell ref="J85:M85"/>
    <mergeCell ref="B86:C86"/>
    <mergeCell ref="D86:F86"/>
    <mergeCell ref="G86:I86"/>
    <mergeCell ref="J86:M86"/>
    <mergeCell ref="B87:C87"/>
    <mergeCell ref="D87:F87"/>
    <mergeCell ref="G87:I87"/>
    <mergeCell ref="J87:M87"/>
    <mergeCell ref="B88:C88"/>
    <mergeCell ref="D88:F88"/>
    <mergeCell ref="G88:I88"/>
    <mergeCell ref="J88:M88"/>
    <mergeCell ref="B89:C89"/>
    <mergeCell ref="D89:F89"/>
    <mergeCell ref="G89:I89"/>
    <mergeCell ref="J89:M89"/>
    <mergeCell ref="B91:M91"/>
    <mergeCell ref="B92:M9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15" hidden="false" customHeight="false" outlineLevel="0" collapsed="false">
      <c r="A1" s="37" t="s">
        <v>78</v>
      </c>
    </row>
    <row r="2" customFormat="false" ht="15" hidden="false" customHeight="false" outlineLevel="0" collapsed="false">
      <c r="A2" s="38" t="s">
        <v>79</v>
      </c>
    </row>
    <row r="3" customFormat="false" ht="15" hidden="false" customHeight="false" outlineLevel="0" collapsed="false">
      <c r="A3" s="39" t="s">
        <v>80</v>
      </c>
      <c r="B3" s="39" t="s">
        <v>81</v>
      </c>
      <c r="C3" s="39" t="s">
        <v>82</v>
      </c>
      <c r="D3" s="39" t="s">
        <v>15</v>
      </c>
      <c r="E3" s="39" t="s">
        <v>16</v>
      </c>
      <c r="F3" s="39" t="s">
        <v>83</v>
      </c>
      <c r="G3" s="39" t="s">
        <v>84</v>
      </c>
      <c r="H3" s="39" t="s">
        <v>85</v>
      </c>
    </row>
    <row r="4" customFormat="false" ht="15" hidden="false" customHeight="false" outlineLevel="0" collapsed="false">
      <c r="A4" s="40" t="s">
        <v>86</v>
      </c>
      <c r="B4" s="41" t="s">
        <v>87</v>
      </c>
      <c r="C4" s="42" t="n">
        <v>5900</v>
      </c>
      <c r="D4" s="42" t="n">
        <v>1490</v>
      </c>
      <c r="E4" s="43" t="n">
        <v>0.252542372881356</v>
      </c>
      <c r="F4" s="40" t="s">
        <v>88</v>
      </c>
      <c r="G4" s="40" t="s">
        <v>89</v>
      </c>
      <c r="H4" s="40" t="s">
        <v>90</v>
      </c>
    </row>
    <row r="5" customFormat="false" ht="15" hidden="false" customHeight="false" outlineLevel="0" collapsed="false">
      <c r="A5" s="44" t="s">
        <v>91</v>
      </c>
      <c r="B5" s="44" t="s">
        <v>92</v>
      </c>
      <c r="C5" s="45" t="n">
        <v>3000</v>
      </c>
      <c r="D5" s="45" t="n">
        <v>580</v>
      </c>
      <c r="E5" s="46" t="n">
        <v>0.193473333333333</v>
      </c>
      <c r="F5" s="44" t="s">
        <v>93</v>
      </c>
      <c r="G5" s="44" t="s">
        <v>94</v>
      </c>
      <c r="H5" s="44" t="s">
        <v>90</v>
      </c>
    </row>
    <row r="6" customFormat="false" ht="15" hidden="false" customHeight="false" outlineLevel="0" collapsed="false">
      <c r="A6" s="40" t="s">
        <v>95</v>
      </c>
      <c r="B6" s="41" t="s">
        <v>96</v>
      </c>
      <c r="C6" s="42" t="n">
        <v>3000</v>
      </c>
      <c r="D6" s="42" t="n">
        <v>585</v>
      </c>
      <c r="E6" s="43" t="n">
        <v>0.194866666666667</v>
      </c>
      <c r="F6" s="40" t="s">
        <v>97</v>
      </c>
      <c r="G6" s="40" t="s">
        <v>98</v>
      </c>
      <c r="H6" s="40" t="s">
        <v>90</v>
      </c>
    </row>
    <row r="7" customFormat="false" ht="15" hidden="false" customHeight="false" outlineLevel="0" collapsed="false">
      <c r="A7" s="44" t="s">
        <v>86</v>
      </c>
      <c r="B7" s="47" t="s">
        <v>99</v>
      </c>
      <c r="C7" s="45" t="n">
        <v>2580</v>
      </c>
      <c r="D7" s="45" t="n">
        <v>580</v>
      </c>
      <c r="E7" s="46" t="n">
        <v>0.224806201550388</v>
      </c>
      <c r="F7" s="44" t="s">
        <v>88</v>
      </c>
      <c r="G7" s="44" t="s">
        <v>89</v>
      </c>
      <c r="H7" s="44" t="s">
        <v>90</v>
      </c>
    </row>
    <row r="8" customFormat="false" ht="15" hidden="false" customHeight="false" outlineLevel="0" collapsed="false">
      <c r="A8" s="40" t="s">
        <v>95</v>
      </c>
      <c r="B8" s="41" t="s">
        <v>100</v>
      </c>
      <c r="C8" s="42" t="n">
        <v>1950</v>
      </c>
      <c r="D8" s="42" t="n">
        <v>947</v>
      </c>
      <c r="E8" s="43" t="n">
        <v>0.485415897435897</v>
      </c>
      <c r="F8" s="40" t="s">
        <v>97</v>
      </c>
      <c r="G8" s="40" t="s">
        <v>98</v>
      </c>
      <c r="H8" s="40" t="s">
        <v>90</v>
      </c>
    </row>
    <row r="9" customFormat="false" ht="15" hidden="false" customHeight="false" outlineLevel="0" collapsed="false">
      <c r="A9" s="47" t="s">
        <v>101</v>
      </c>
      <c r="B9" s="44" t="s">
        <v>102</v>
      </c>
      <c r="C9" s="45" t="n">
        <v>1475</v>
      </c>
      <c r="D9" s="45" t="n">
        <v>459</v>
      </c>
      <c r="E9" s="46" t="n">
        <v>0.311186440677966</v>
      </c>
      <c r="F9" s="44" t="s">
        <v>93</v>
      </c>
      <c r="G9" s="44" t="s">
        <v>94</v>
      </c>
      <c r="H9" s="44" t="s">
        <v>90</v>
      </c>
    </row>
    <row r="10" customFormat="false" ht="15" hidden="false" customHeight="false" outlineLevel="0" collapsed="false">
      <c r="A10" s="40" t="s">
        <v>95</v>
      </c>
      <c r="B10" s="40" t="s">
        <v>103</v>
      </c>
      <c r="C10" s="42" t="n">
        <v>1384</v>
      </c>
      <c r="D10" s="42" t="n">
        <v>416</v>
      </c>
      <c r="E10" s="43" t="n">
        <v>0.30078012135221</v>
      </c>
      <c r="F10" s="40" t="s">
        <v>97</v>
      </c>
      <c r="G10" s="40" t="s">
        <v>94</v>
      </c>
      <c r="H10" s="40" t="s">
        <v>90</v>
      </c>
    </row>
    <row r="11" customFormat="false" ht="15" hidden="false" customHeight="false" outlineLevel="0" collapsed="false">
      <c r="A11" s="44" t="s">
        <v>104</v>
      </c>
      <c r="B11" s="47" t="s">
        <v>105</v>
      </c>
      <c r="C11" s="45" t="n">
        <v>535</v>
      </c>
      <c r="D11" s="45" t="n">
        <v>125</v>
      </c>
      <c r="E11" s="46" t="n">
        <v>0.2332</v>
      </c>
      <c r="F11" s="44" t="s">
        <v>106</v>
      </c>
      <c r="G11" s="44" t="s">
        <v>89</v>
      </c>
      <c r="H11" s="44" t="s">
        <v>107</v>
      </c>
    </row>
    <row r="12" customFormat="false" ht="15" hidden="false" customHeight="false" outlineLevel="0" collapsed="false">
      <c r="A12" s="40" t="s">
        <v>86</v>
      </c>
      <c r="B12" s="41" t="s">
        <v>108</v>
      </c>
      <c r="C12" s="42" t="n">
        <v>265</v>
      </c>
      <c r="D12" s="42" t="n">
        <v>65</v>
      </c>
      <c r="E12" s="43" t="n">
        <v>0.245283018867925</v>
      </c>
      <c r="F12" s="40" t="s">
        <v>88</v>
      </c>
      <c r="G12" s="40" t="s">
        <v>109</v>
      </c>
      <c r="H12" s="40" t="s">
        <v>90</v>
      </c>
    </row>
    <row r="13" customFormat="false" ht="15" hidden="false" customHeight="false" outlineLevel="0" collapsed="false">
      <c r="A13" s="44" t="s">
        <v>110</v>
      </c>
      <c r="B13" s="44" t="s">
        <v>111</v>
      </c>
      <c r="C13" s="45" t="n">
        <v>187</v>
      </c>
      <c r="D13" s="45" t="n">
        <v>187</v>
      </c>
      <c r="E13" s="46" t="n">
        <v>1</v>
      </c>
      <c r="F13" s="44" t="s">
        <v>106</v>
      </c>
      <c r="G13" s="44" t="s">
        <v>39</v>
      </c>
      <c r="H13" s="47" t="s">
        <v>112</v>
      </c>
    </row>
    <row r="14" customFormat="false" ht="15" hidden="false" customHeight="false" outlineLevel="0" collapsed="false">
      <c r="A14" s="40" t="s">
        <v>113</v>
      </c>
      <c r="B14" s="40" t="s">
        <v>114</v>
      </c>
      <c r="C14" s="42" t="n">
        <v>173</v>
      </c>
      <c r="D14" s="42" t="n">
        <v>31</v>
      </c>
      <c r="E14" s="43" t="n">
        <v>0.176639722863741</v>
      </c>
      <c r="F14" s="40" t="s">
        <v>88</v>
      </c>
      <c r="G14" s="40" t="s">
        <v>94</v>
      </c>
      <c r="H14" s="40" t="s">
        <v>90</v>
      </c>
    </row>
    <row r="15" customFormat="false" ht="15" hidden="false" customHeight="false" outlineLevel="0" collapsed="false">
      <c r="A15" s="44" t="s">
        <v>115</v>
      </c>
      <c r="B15" s="44" t="s">
        <v>116</v>
      </c>
      <c r="C15" s="45" t="n">
        <v>150</v>
      </c>
      <c r="D15" s="45" t="n">
        <v>72</v>
      </c>
      <c r="E15" s="46" t="n">
        <v>0.478666666666667</v>
      </c>
      <c r="F15" s="44" t="s">
        <v>93</v>
      </c>
      <c r="G15" s="44" t="s">
        <v>94</v>
      </c>
      <c r="H15" s="44" t="s">
        <v>90</v>
      </c>
    </row>
    <row r="16" customFormat="false" ht="15" hidden="false" customHeight="false" outlineLevel="0" collapsed="false">
      <c r="A16" s="40" t="s">
        <v>117</v>
      </c>
      <c r="B16" s="40" t="s">
        <v>118</v>
      </c>
      <c r="C16" s="42" t="n">
        <v>149</v>
      </c>
      <c r="D16" s="42" t="n">
        <v>56</v>
      </c>
      <c r="E16" s="43" t="n">
        <v>0.375838926174497</v>
      </c>
      <c r="F16" s="40" t="s">
        <v>93</v>
      </c>
      <c r="G16" s="40" t="s">
        <v>94</v>
      </c>
      <c r="H16" s="40" t="s">
        <v>90</v>
      </c>
    </row>
    <row r="17" customFormat="false" ht="15" hidden="false" customHeight="false" outlineLevel="0" collapsed="false">
      <c r="A17" s="44" t="s">
        <v>119</v>
      </c>
      <c r="B17" s="44" t="s">
        <v>120</v>
      </c>
      <c r="C17" s="45" t="n">
        <v>70</v>
      </c>
      <c r="D17" s="45" t="n">
        <v>11</v>
      </c>
      <c r="E17" s="46" t="n">
        <v>0.150997150997151</v>
      </c>
      <c r="F17" s="44" t="s">
        <v>121</v>
      </c>
      <c r="G17" s="44" t="s">
        <v>89</v>
      </c>
      <c r="H17" s="44" t="s">
        <v>90</v>
      </c>
    </row>
    <row r="18" customFormat="false" ht="15" hidden="false" customHeight="false" outlineLevel="0" collapsed="false">
      <c r="A18" s="40" t="s">
        <v>119</v>
      </c>
      <c r="B18" s="40" t="s">
        <v>122</v>
      </c>
      <c r="C18" s="42" t="n">
        <v>62</v>
      </c>
      <c r="D18" s="42" t="n">
        <v>29</v>
      </c>
      <c r="E18" s="43" t="n">
        <v>0.4592</v>
      </c>
      <c r="F18" s="40" t="s">
        <v>121</v>
      </c>
      <c r="G18" s="40" t="s">
        <v>109</v>
      </c>
      <c r="H18" s="40" t="s">
        <v>90</v>
      </c>
    </row>
    <row r="19" customFormat="false" ht="15" hidden="false" customHeight="false" outlineLevel="0" collapsed="false">
      <c r="A19" s="44" t="s">
        <v>123</v>
      </c>
      <c r="B19" s="44" t="s">
        <v>124</v>
      </c>
      <c r="C19" s="45" t="n">
        <v>62</v>
      </c>
      <c r="D19" s="45" t="n">
        <v>7</v>
      </c>
      <c r="E19" s="46" t="n">
        <v>0.107443365695793</v>
      </c>
      <c r="F19" s="44" t="s">
        <v>106</v>
      </c>
      <c r="G19" s="44" t="s">
        <v>94</v>
      </c>
      <c r="H19" s="44" t="s">
        <v>90</v>
      </c>
    </row>
    <row r="20" customFormat="false" ht="15" hidden="false" customHeight="false" outlineLevel="0" collapsed="false">
      <c r="A20" s="40" t="s">
        <v>125</v>
      </c>
      <c r="B20" s="40" t="s">
        <v>126</v>
      </c>
      <c r="C20" s="42" t="n">
        <v>50</v>
      </c>
      <c r="D20" s="42" t="n">
        <v>19</v>
      </c>
      <c r="E20" s="43" t="n">
        <v>0.376</v>
      </c>
      <c r="F20" s="40" t="s">
        <v>88</v>
      </c>
      <c r="G20" s="40" t="s">
        <v>94</v>
      </c>
      <c r="H20" s="40" t="s">
        <v>90</v>
      </c>
    </row>
    <row r="21" customFormat="false" ht="15" hidden="false" customHeight="false" outlineLevel="0" collapsed="false">
      <c r="A21" s="44" t="s">
        <v>86</v>
      </c>
      <c r="B21" s="44" t="s">
        <v>127</v>
      </c>
      <c r="C21" s="45" t="n">
        <v>38</v>
      </c>
      <c r="D21" s="45" t="n">
        <v>8</v>
      </c>
      <c r="E21" s="46" t="n">
        <v>0.202362204724409</v>
      </c>
      <c r="F21" s="44" t="s">
        <v>88</v>
      </c>
      <c r="G21" s="44" t="s">
        <v>128</v>
      </c>
      <c r="H21" s="44" t="s">
        <v>90</v>
      </c>
    </row>
    <row r="22" customFormat="false" ht="15" hidden="false" customHeight="false" outlineLevel="0" collapsed="false">
      <c r="A22" s="40" t="s">
        <v>129</v>
      </c>
      <c r="B22" s="40" t="s">
        <v>130</v>
      </c>
      <c r="C22" s="42" t="n">
        <v>12</v>
      </c>
      <c r="D22" s="42" t="n">
        <v>0</v>
      </c>
      <c r="E22" s="43" t="n">
        <v>0.0194174757281553</v>
      </c>
      <c r="F22" s="40" t="s">
        <v>131</v>
      </c>
      <c r="G22" s="40" t="s">
        <v>132</v>
      </c>
      <c r="H22" s="40" t="s">
        <v>90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7.15" hidden="false" customHeight="false" outlineLevel="0" collapsed="false">
      <c r="A1" s="48" t="s">
        <v>133</v>
      </c>
    </row>
    <row r="2" customFormat="false" ht="15" hidden="false" customHeight="false" outlineLevel="0" collapsed="false">
      <c r="A2" s="38" t="s">
        <v>134</v>
      </c>
    </row>
    <row r="3" customFormat="false" ht="15" hidden="false" customHeight="false" outlineLevel="0" collapsed="false">
      <c r="A3" s="39" t="s">
        <v>135</v>
      </c>
      <c r="B3" s="39" t="s">
        <v>13</v>
      </c>
      <c r="C3" s="39" t="s">
        <v>82</v>
      </c>
      <c r="D3" s="39" t="s">
        <v>15</v>
      </c>
      <c r="E3" s="39" t="s">
        <v>16</v>
      </c>
      <c r="F3" s="39" t="s">
        <v>14</v>
      </c>
    </row>
    <row r="4" customFormat="false" ht="15" hidden="false" customHeight="false" outlineLevel="0" collapsed="false">
      <c r="A4" s="41" t="s">
        <v>136</v>
      </c>
      <c r="B4" s="49" t="n">
        <v>12</v>
      </c>
      <c r="C4" s="42" t="n">
        <v>13688</v>
      </c>
      <c r="D4" s="42" t="n">
        <v>1820</v>
      </c>
      <c r="E4" s="43" t="n">
        <v>0.132996110171742</v>
      </c>
      <c r="F4" s="42" t="n">
        <v>1141</v>
      </c>
    </row>
    <row r="5" customFormat="false" ht="15" hidden="false" customHeight="false" outlineLevel="0" collapsed="false">
      <c r="A5" s="47" t="s">
        <v>137</v>
      </c>
      <c r="B5" s="50" t="n">
        <v>30</v>
      </c>
      <c r="C5" s="45" t="n">
        <v>29952</v>
      </c>
      <c r="D5" s="45" t="n">
        <v>21720</v>
      </c>
      <c r="E5" s="46" t="n">
        <v>0.725160794941102</v>
      </c>
      <c r="F5" s="45" t="n">
        <v>998</v>
      </c>
    </row>
    <row r="6" customFormat="false" ht="15" hidden="false" customHeight="false" outlineLevel="0" collapsed="false">
      <c r="A6" s="41" t="s">
        <v>138</v>
      </c>
      <c r="B6" s="49" t="n">
        <v>29</v>
      </c>
      <c r="C6" s="42" t="n">
        <v>21170</v>
      </c>
      <c r="D6" s="42" t="n">
        <v>3886</v>
      </c>
      <c r="E6" s="43" t="n">
        <v>0.183556405805328</v>
      </c>
      <c r="F6" s="42" t="n">
        <v>730</v>
      </c>
    </row>
    <row r="7" customFormat="false" ht="15" hidden="false" customHeight="false" outlineLevel="0" collapsed="false">
      <c r="A7" s="47" t="s">
        <v>139</v>
      </c>
      <c r="B7" s="50" t="n">
        <v>14</v>
      </c>
      <c r="C7" s="45" t="n">
        <v>15124</v>
      </c>
      <c r="D7" s="45" t="n">
        <v>8183</v>
      </c>
      <c r="E7" s="46" t="n">
        <v>0.54102930820249</v>
      </c>
      <c r="F7" s="45" t="n">
        <v>1080</v>
      </c>
    </row>
    <row r="8" customFormat="false" ht="15" hidden="false" customHeight="false" outlineLevel="0" collapsed="false">
      <c r="A8" s="41" t="s">
        <v>140</v>
      </c>
      <c r="B8" s="49" t="n">
        <v>13</v>
      </c>
      <c r="C8" s="42" t="n">
        <v>4265</v>
      </c>
      <c r="D8" s="42" t="n">
        <v>2303</v>
      </c>
      <c r="E8" s="43" t="n">
        <v>0.5400786057756</v>
      </c>
      <c r="F8" s="42" t="n">
        <v>328</v>
      </c>
    </row>
    <row r="9" customFormat="false" ht="15" hidden="false" customHeight="false" outlineLevel="0" collapsed="false">
      <c r="A9" s="47" t="s">
        <v>141</v>
      </c>
      <c r="B9" s="50" t="n">
        <v>19</v>
      </c>
      <c r="C9" s="45" t="n">
        <v>21044</v>
      </c>
      <c r="D9" s="45" t="n">
        <v>5665</v>
      </c>
      <c r="E9" s="46" t="n">
        <v>0.269198473724998</v>
      </c>
      <c r="F9" s="45" t="n">
        <v>1108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15" hidden="false" customHeight="false" outlineLevel="0" collapsed="false">
      <c r="A1" s="37" t="s">
        <v>142</v>
      </c>
    </row>
    <row r="2" customFormat="false" ht="15" hidden="false" customHeight="false" outlineLevel="0" collapsed="false">
      <c r="A2" s="38" t="s">
        <v>143</v>
      </c>
    </row>
    <row r="3" customFormat="false" ht="15" hidden="false" customHeight="false" outlineLevel="0" collapsed="false">
      <c r="A3" s="39" t="s">
        <v>144</v>
      </c>
      <c r="B3" s="39" t="s">
        <v>80</v>
      </c>
      <c r="C3" s="39" t="s">
        <v>81</v>
      </c>
      <c r="D3" s="39" t="s">
        <v>82</v>
      </c>
      <c r="E3" s="39" t="s">
        <v>15</v>
      </c>
      <c r="F3" s="39" t="s">
        <v>83</v>
      </c>
      <c r="G3" s="39" t="s">
        <v>84</v>
      </c>
      <c r="H3" s="39" t="s">
        <v>85</v>
      </c>
    </row>
    <row r="4" customFormat="false" ht="15" hidden="false" customHeight="false" outlineLevel="0" collapsed="false">
      <c r="A4" s="41" t="s">
        <v>145</v>
      </c>
      <c r="B4" s="40" t="s">
        <v>110</v>
      </c>
      <c r="C4" s="40" t="s">
        <v>146</v>
      </c>
      <c r="D4" s="42" t="n">
        <v>7425</v>
      </c>
      <c r="E4" s="42" t="n">
        <v>675</v>
      </c>
      <c r="F4" s="40" t="s">
        <v>106</v>
      </c>
      <c r="G4" s="40" t="s">
        <v>39</v>
      </c>
      <c r="H4" s="41" t="s">
        <v>112</v>
      </c>
    </row>
    <row r="5" customFormat="false" ht="15" hidden="false" customHeight="false" outlineLevel="0" collapsed="false">
      <c r="A5" s="47" t="s">
        <v>145</v>
      </c>
      <c r="B5" s="44" t="s">
        <v>110</v>
      </c>
      <c r="C5" s="44" t="s">
        <v>147</v>
      </c>
      <c r="D5" s="45" t="n">
        <v>2475</v>
      </c>
      <c r="E5" s="45" t="n">
        <v>230</v>
      </c>
      <c r="F5" s="44" t="s">
        <v>106</v>
      </c>
      <c r="G5" s="44" t="s">
        <v>39</v>
      </c>
      <c r="H5" s="47" t="s">
        <v>112</v>
      </c>
    </row>
    <row r="6" customFormat="false" ht="15" hidden="false" customHeight="false" outlineLevel="0" collapsed="false">
      <c r="A6" s="41" t="s">
        <v>145</v>
      </c>
      <c r="B6" s="40" t="s">
        <v>148</v>
      </c>
      <c r="C6" s="40" t="s">
        <v>149</v>
      </c>
      <c r="D6" s="42" t="n">
        <v>870</v>
      </c>
      <c r="E6" s="42" t="n">
        <v>118</v>
      </c>
      <c r="F6" s="40" t="s">
        <v>88</v>
      </c>
      <c r="G6" s="40" t="s">
        <v>132</v>
      </c>
      <c r="H6" s="40" t="s">
        <v>90</v>
      </c>
    </row>
    <row r="7" customFormat="false" ht="15" hidden="false" customHeight="false" outlineLevel="0" collapsed="false">
      <c r="A7" s="47" t="s">
        <v>145</v>
      </c>
      <c r="B7" s="44" t="s">
        <v>150</v>
      </c>
      <c r="C7" s="44" t="s">
        <v>151</v>
      </c>
      <c r="D7" s="45" t="n">
        <v>832</v>
      </c>
      <c r="E7" s="45" t="n">
        <v>170</v>
      </c>
      <c r="F7" s="44" t="s">
        <v>97</v>
      </c>
      <c r="G7" s="44" t="s">
        <v>132</v>
      </c>
      <c r="H7" s="44" t="s">
        <v>90</v>
      </c>
    </row>
    <row r="8" customFormat="false" ht="15" hidden="false" customHeight="false" outlineLevel="0" collapsed="false">
      <c r="A8" s="41" t="s">
        <v>145</v>
      </c>
      <c r="B8" s="40" t="s">
        <v>152</v>
      </c>
      <c r="C8" s="40" t="s">
        <v>153</v>
      </c>
      <c r="D8" s="42" t="n">
        <v>680</v>
      </c>
      <c r="E8" s="42" t="n">
        <v>107</v>
      </c>
      <c r="F8" s="40" t="s">
        <v>121</v>
      </c>
      <c r="G8" s="40" t="s">
        <v>128</v>
      </c>
      <c r="H8" s="40" t="s">
        <v>90</v>
      </c>
    </row>
    <row r="9" customFormat="false" ht="15" hidden="false" customHeight="false" outlineLevel="0" collapsed="false">
      <c r="A9" s="47" t="s">
        <v>145</v>
      </c>
      <c r="B9" s="44" t="s">
        <v>154</v>
      </c>
      <c r="C9" s="44" t="s">
        <v>155</v>
      </c>
      <c r="D9" s="45" t="n">
        <v>532</v>
      </c>
      <c r="E9" s="45" t="n">
        <v>99</v>
      </c>
      <c r="F9" s="44" t="s">
        <v>121</v>
      </c>
      <c r="G9" s="44" t="s">
        <v>94</v>
      </c>
      <c r="H9" s="44" t="s">
        <v>90</v>
      </c>
    </row>
    <row r="10" customFormat="false" ht="15" hidden="false" customHeight="false" outlineLevel="0" collapsed="false">
      <c r="A10" s="41" t="s">
        <v>145</v>
      </c>
      <c r="B10" s="40" t="s">
        <v>156</v>
      </c>
      <c r="C10" s="40" t="s">
        <v>157</v>
      </c>
      <c r="D10" s="42" t="n">
        <v>384</v>
      </c>
      <c r="E10" s="42" t="n">
        <v>250</v>
      </c>
      <c r="F10" s="40" t="s">
        <v>88</v>
      </c>
      <c r="G10" s="40" t="s">
        <v>94</v>
      </c>
      <c r="H10" s="41" t="s">
        <v>158</v>
      </c>
    </row>
    <row r="11" customFormat="false" ht="15" hidden="false" customHeight="false" outlineLevel="0" collapsed="false">
      <c r="A11" s="47" t="s">
        <v>145</v>
      </c>
      <c r="B11" s="44" t="s">
        <v>159</v>
      </c>
      <c r="C11" s="44" t="s">
        <v>160</v>
      </c>
      <c r="D11" s="45" t="n">
        <v>137</v>
      </c>
      <c r="E11" s="45" t="n">
        <v>21</v>
      </c>
      <c r="F11" s="44" t="s">
        <v>106</v>
      </c>
      <c r="G11" s="44" t="s">
        <v>94</v>
      </c>
      <c r="H11" s="44" t="s">
        <v>90</v>
      </c>
    </row>
    <row r="12" customFormat="false" ht="15" hidden="false" customHeight="false" outlineLevel="0" collapsed="false">
      <c r="A12" s="41" t="s">
        <v>145</v>
      </c>
      <c r="B12" s="40" t="s">
        <v>159</v>
      </c>
      <c r="C12" s="40" t="s">
        <v>161</v>
      </c>
      <c r="D12" s="42" t="n">
        <v>132</v>
      </c>
      <c r="E12" s="42" t="n">
        <v>30</v>
      </c>
      <c r="F12" s="40" t="s">
        <v>106</v>
      </c>
      <c r="G12" s="40" t="s">
        <v>94</v>
      </c>
      <c r="H12" s="40" t="s">
        <v>90</v>
      </c>
    </row>
    <row r="13" customFormat="false" ht="15" hidden="false" customHeight="false" outlineLevel="0" collapsed="false">
      <c r="A13" s="47" t="s">
        <v>145</v>
      </c>
      <c r="B13" s="44" t="s">
        <v>159</v>
      </c>
      <c r="C13" s="44" t="s">
        <v>162</v>
      </c>
      <c r="D13" s="45" t="n">
        <v>126</v>
      </c>
      <c r="E13" s="45" t="n">
        <v>26</v>
      </c>
      <c r="F13" s="44" t="s">
        <v>106</v>
      </c>
      <c r="G13" s="44" t="s">
        <v>94</v>
      </c>
      <c r="H13" s="44" t="s">
        <v>90</v>
      </c>
    </row>
    <row r="14" customFormat="false" ht="15" hidden="false" customHeight="false" outlineLevel="0" collapsed="false">
      <c r="A14" s="41" t="s">
        <v>145</v>
      </c>
      <c r="B14" s="40" t="s">
        <v>110</v>
      </c>
      <c r="C14" s="40" t="s">
        <v>163</v>
      </c>
      <c r="D14" s="42" t="n">
        <v>92</v>
      </c>
      <c r="E14" s="42" t="n">
        <v>92</v>
      </c>
      <c r="F14" s="40" t="s">
        <v>106</v>
      </c>
      <c r="G14" s="40" t="s">
        <v>39</v>
      </c>
      <c r="H14" s="41" t="s">
        <v>112</v>
      </c>
    </row>
    <row r="15" customFormat="false" ht="15" hidden="false" customHeight="false" outlineLevel="0" collapsed="false">
      <c r="A15" s="47" t="s">
        <v>145</v>
      </c>
      <c r="B15" s="44" t="s">
        <v>154</v>
      </c>
      <c r="C15" s="44" t="s">
        <v>164</v>
      </c>
      <c r="D15" s="45" t="n">
        <v>4</v>
      </c>
      <c r="E15" s="45" t="n">
        <v>4</v>
      </c>
      <c r="F15" s="44" t="s">
        <v>121</v>
      </c>
      <c r="G15" s="44" t="s">
        <v>39</v>
      </c>
      <c r="H15" s="44" t="s">
        <v>90</v>
      </c>
    </row>
    <row r="16" customFormat="false" ht="15" hidden="false" customHeight="false" outlineLevel="0" collapsed="false">
      <c r="A16" s="41" t="s">
        <v>165</v>
      </c>
      <c r="B16" s="40" t="s">
        <v>110</v>
      </c>
      <c r="C16" s="40" t="s">
        <v>166</v>
      </c>
      <c r="D16" s="42" t="n">
        <v>14925</v>
      </c>
      <c r="E16" s="42" t="n">
        <v>14925</v>
      </c>
      <c r="F16" s="40" t="s">
        <v>106</v>
      </c>
      <c r="G16" s="40" t="s">
        <v>39</v>
      </c>
      <c r="H16" s="41" t="s">
        <v>112</v>
      </c>
    </row>
    <row r="17" customFormat="false" ht="15" hidden="false" customHeight="false" outlineLevel="0" collapsed="false">
      <c r="A17" s="47" t="s">
        <v>165</v>
      </c>
      <c r="B17" s="44" t="s">
        <v>86</v>
      </c>
      <c r="C17" s="47" t="s">
        <v>167</v>
      </c>
      <c r="D17" s="45" t="n">
        <v>3500</v>
      </c>
      <c r="E17" s="45" t="n">
        <v>391</v>
      </c>
      <c r="F17" s="44" t="s">
        <v>88</v>
      </c>
      <c r="G17" s="44" t="s">
        <v>94</v>
      </c>
      <c r="H17" s="44" t="s">
        <v>90</v>
      </c>
    </row>
    <row r="18" customFormat="false" ht="15" hidden="false" customHeight="false" outlineLevel="0" collapsed="false">
      <c r="A18" s="41" t="s">
        <v>165</v>
      </c>
      <c r="B18" s="40" t="s">
        <v>110</v>
      </c>
      <c r="C18" s="40" t="s">
        <v>168</v>
      </c>
      <c r="D18" s="42" t="n">
        <v>3422</v>
      </c>
      <c r="E18" s="42" t="n">
        <v>3422</v>
      </c>
      <c r="F18" s="40" t="s">
        <v>106</v>
      </c>
      <c r="G18" s="40" t="s">
        <v>39</v>
      </c>
      <c r="H18" s="41" t="s">
        <v>112</v>
      </c>
    </row>
    <row r="19" customFormat="false" ht="15" hidden="false" customHeight="false" outlineLevel="0" collapsed="false">
      <c r="A19" s="47" t="s">
        <v>165</v>
      </c>
      <c r="B19" s="44" t="s">
        <v>169</v>
      </c>
      <c r="C19" s="44" t="s">
        <v>170</v>
      </c>
      <c r="D19" s="45" t="n">
        <v>1600</v>
      </c>
      <c r="E19" s="45" t="n">
        <v>94</v>
      </c>
      <c r="F19" s="44" t="s">
        <v>88</v>
      </c>
      <c r="G19" s="44" t="s">
        <v>89</v>
      </c>
      <c r="H19" s="44" t="s">
        <v>90</v>
      </c>
    </row>
    <row r="20" customFormat="false" ht="15" hidden="false" customHeight="false" outlineLevel="0" collapsed="false">
      <c r="A20" s="41" t="s">
        <v>165</v>
      </c>
      <c r="B20" s="40" t="s">
        <v>86</v>
      </c>
      <c r="C20" s="41" t="s">
        <v>171</v>
      </c>
      <c r="D20" s="42" t="n">
        <v>1400</v>
      </c>
      <c r="E20" s="42" t="n">
        <v>944</v>
      </c>
      <c r="F20" s="40" t="s">
        <v>88</v>
      </c>
      <c r="G20" s="40" t="s">
        <v>89</v>
      </c>
      <c r="H20" s="40" t="s">
        <v>90</v>
      </c>
    </row>
    <row r="21" customFormat="false" ht="15" hidden="false" customHeight="false" outlineLevel="0" collapsed="false">
      <c r="A21" s="47" t="s">
        <v>165</v>
      </c>
      <c r="B21" s="44" t="s">
        <v>119</v>
      </c>
      <c r="C21" s="47" t="s">
        <v>172</v>
      </c>
      <c r="D21" s="45" t="n">
        <v>1230</v>
      </c>
      <c r="E21" s="45" t="n">
        <v>236</v>
      </c>
      <c r="F21" s="44" t="s">
        <v>97</v>
      </c>
      <c r="G21" s="44" t="s">
        <v>94</v>
      </c>
      <c r="H21" s="44" t="s">
        <v>90</v>
      </c>
    </row>
    <row r="22" customFormat="false" ht="15" hidden="false" customHeight="false" outlineLevel="0" collapsed="false">
      <c r="A22" s="41" t="s">
        <v>165</v>
      </c>
      <c r="B22" s="40" t="s">
        <v>113</v>
      </c>
      <c r="C22" s="41" t="s">
        <v>173</v>
      </c>
      <c r="D22" s="42" t="n">
        <v>813</v>
      </c>
      <c r="E22" s="42" t="n">
        <v>222</v>
      </c>
      <c r="F22" s="40" t="s">
        <v>88</v>
      </c>
      <c r="G22" s="41" t="s">
        <v>112</v>
      </c>
      <c r="H22" s="40" t="s">
        <v>90</v>
      </c>
    </row>
    <row r="23" customFormat="false" ht="15" hidden="false" customHeight="false" outlineLevel="0" collapsed="false">
      <c r="A23" s="47" t="s">
        <v>165</v>
      </c>
      <c r="B23" s="44" t="s">
        <v>113</v>
      </c>
      <c r="C23" s="47" t="s">
        <v>174</v>
      </c>
      <c r="D23" s="45" t="n">
        <v>687</v>
      </c>
      <c r="E23" s="45" t="n">
        <v>140</v>
      </c>
      <c r="F23" s="44" t="s">
        <v>88</v>
      </c>
      <c r="G23" s="44" t="s">
        <v>94</v>
      </c>
      <c r="H23" s="44" t="s">
        <v>90</v>
      </c>
    </row>
    <row r="24" customFormat="false" ht="15" hidden="false" customHeight="false" outlineLevel="0" collapsed="false">
      <c r="A24" s="41" t="s">
        <v>165</v>
      </c>
      <c r="B24" s="40" t="s">
        <v>110</v>
      </c>
      <c r="C24" s="40" t="s">
        <v>175</v>
      </c>
      <c r="D24" s="42" t="n">
        <v>642</v>
      </c>
      <c r="E24" s="42" t="n">
        <v>642</v>
      </c>
      <c r="F24" s="40" t="s">
        <v>106</v>
      </c>
      <c r="G24" s="40" t="s">
        <v>39</v>
      </c>
      <c r="H24" s="41" t="s">
        <v>112</v>
      </c>
    </row>
    <row r="25" customFormat="false" ht="15" hidden="false" customHeight="false" outlineLevel="0" collapsed="false">
      <c r="A25" s="47" t="s">
        <v>165</v>
      </c>
      <c r="B25" s="44" t="s">
        <v>176</v>
      </c>
      <c r="C25" s="47" t="s">
        <v>177</v>
      </c>
      <c r="D25" s="45" t="n">
        <v>250</v>
      </c>
      <c r="E25" s="45" t="n">
        <v>52</v>
      </c>
      <c r="F25" s="44" t="s">
        <v>88</v>
      </c>
      <c r="G25" s="44" t="s">
        <v>89</v>
      </c>
      <c r="H25" s="44" t="s">
        <v>90</v>
      </c>
    </row>
    <row r="26" customFormat="false" ht="15" hidden="false" customHeight="false" outlineLevel="0" collapsed="false">
      <c r="A26" s="41" t="s">
        <v>165</v>
      </c>
      <c r="B26" s="41" t="s">
        <v>178</v>
      </c>
      <c r="C26" s="41" t="s">
        <v>179</v>
      </c>
      <c r="D26" s="42" t="n">
        <v>225</v>
      </c>
      <c r="E26" s="42" t="n">
        <v>45</v>
      </c>
      <c r="F26" s="40" t="s">
        <v>97</v>
      </c>
      <c r="G26" s="40" t="s">
        <v>132</v>
      </c>
      <c r="H26" s="40" t="s">
        <v>90</v>
      </c>
    </row>
    <row r="27" customFormat="false" ht="15" hidden="false" customHeight="false" outlineLevel="0" collapsed="false">
      <c r="A27" s="47" t="s">
        <v>165</v>
      </c>
      <c r="B27" s="44" t="s">
        <v>180</v>
      </c>
      <c r="C27" s="44" t="s">
        <v>181</v>
      </c>
      <c r="D27" s="45" t="n">
        <v>212</v>
      </c>
      <c r="E27" s="45" t="n">
        <v>188</v>
      </c>
      <c r="F27" s="44" t="s">
        <v>121</v>
      </c>
      <c r="G27" s="44" t="s">
        <v>89</v>
      </c>
      <c r="H27" s="47" t="s">
        <v>158</v>
      </c>
    </row>
    <row r="28" customFormat="false" ht="15" hidden="false" customHeight="false" outlineLevel="0" collapsed="false">
      <c r="A28" s="41" t="s">
        <v>165</v>
      </c>
      <c r="B28" s="40" t="s">
        <v>182</v>
      </c>
      <c r="C28" s="40" t="s">
        <v>183</v>
      </c>
      <c r="D28" s="42" t="n">
        <v>170</v>
      </c>
      <c r="E28" s="42" t="n">
        <v>40</v>
      </c>
      <c r="F28" s="40" t="s">
        <v>88</v>
      </c>
      <c r="G28" s="40" t="s">
        <v>89</v>
      </c>
      <c r="H28" s="40" t="s">
        <v>90</v>
      </c>
    </row>
    <row r="29" customFormat="false" ht="15" hidden="false" customHeight="false" outlineLevel="0" collapsed="false">
      <c r="A29" s="47" t="s">
        <v>165</v>
      </c>
      <c r="B29" s="44" t="s">
        <v>184</v>
      </c>
      <c r="C29" s="44" t="s">
        <v>185</v>
      </c>
      <c r="D29" s="45" t="n">
        <v>166</v>
      </c>
      <c r="E29" s="45" t="n">
        <v>44</v>
      </c>
      <c r="F29" s="44" t="s">
        <v>121</v>
      </c>
      <c r="G29" s="44" t="s">
        <v>94</v>
      </c>
      <c r="H29" s="44" t="s">
        <v>90</v>
      </c>
    </row>
    <row r="30" customFormat="false" ht="15" hidden="false" customHeight="false" outlineLevel="0" collapsed="false">
      <c r="A30" s="41" t="s">
        <v>165</v>
      </c>
      <c r="B30" s="40" t="s">
        <v>184</v>
      </c>
      <c r="C30" s="40" t="s">
        <v>186</v>
      </c>
      <c r="D30" s="42" t="n">
        <v>98</v>
      </c>
      <c r="E30" s="42" t="n">
        <v>34</v>
      </c>
      <c r="F30" s="40" t="s">
        <v>121</v>
      </c>
      <c r="G30" s="40" t="s">
        <v>94</v>
      </c>
      <c r="H30" s="40" t="s">
        <v>90</v>
      </c>
    </row>
    <row r="31" customFormat="false" ht="15" hidden="false" customHeight="false" outlineLevel="0" collapsed="false">
      <c r="A31" s="47" t="s">
        <v>165</v>
      </c>
      <c r="B31" s="44" t="s">
        <v>180</v>
      </c>
      <c r="C31" s="44" t="s">
        <v>187</v>
      </c>
      <c r="D31" s="45" t="n">
        <v>96</v>
      </c>
      <c r="E31" s="45" t="n">
        <v>25</v>
      </c>
      <c r="F31" s="44" t="s">
        <v>121</v>
      </c>
      <c r="G31" s="44" t="s">
        <v>188</v>
      </c>
      <c r="H31" s="47" t="s">
        <v>158</v>
      </c>
    </row>
    <row r="32" customFormat="false" ht="15" hidden="false" customHeight="false" outlineLevel="0" collapsed="false">
      <c r="A32" s="41" t="s">
        <v>165</v>
      </c>
      <c r="B32" s="40" t="s">
        <v>184</v>
      </c>
      <c r="C32" s="40" t="s">
        <v>189</v>
      </c>
      <c r="D32" s="42" t="n">
        <v>82</v>
      </c>
      <c r="E32" s="42" t="n">
        <v>32</v>
      </c>
      <c r="F32" s="40" t="s">
        <v>121</v>
      </c>
      <c r="G32" s="40" t="s">
        <v>94</v>
      </c>
      <c r="H32" s="40" t="s">
        <v>90</v>
      </c>
    </row>
    <row r="33" customFormat="false" ht="15" hidden="false" customHeight="false" outlineLevel="0" collapsed="false">
      <c r="A33" s="47" t="s">
        <v>165</v>
      </c>
      <c r="B33" s="44" t="s">
        <v>190</v>
      </c>
      <c r="C33" s="44" t="s">
        <v>191</v>
      </c>
      <c r="D33" s="45" t="n">
        <v>57</v>
      </c>
      <c r="E33" s="45" t="n">
        <v>10</v>
      </c>
      <c r="F33" s="44" t="s">
        <v>106</v>
      </c>
      <c r="G33" s="44" t="s">
        <v>89</v>
      </c>
      <c r="H33" s="44" t="s">
        <v>90</v>
      </c>
    </row>
    <row r="34" customFormat="false" ht="15" hidden="false" customHeight="false" outlineLevel="0" collapsed="false">
      <c r="A34" s="41" t="s">
        <v>165</v>
      </c>
      <c r="B34" s="40" t="s">
        <v>110</v>
      </c>
      <c r="C34" s="40" t="s">
        <v>192</v>
      </c>
      <c r="D34" s="42" t="n">
        <v>55</v>
      </c>
      <c r="E34" s="42" t="n">
        <v>55</v>
      </c>
      <c r="F34" s="40" t="s">
        <v>106</v>
      </c>
      <c r="G34" s="40" t="s">
        <v>39</v>
      </c>
      <c r="H34" s="41" t="s">
        <v>112</v>
      </c>
    </row>
    <row r="35" customFormat="false" ht="15" hidden="false" customHeight="false" outlineLevel="0" collapsed="false">
      <c r="A35" s="47" t="s">
        <v>165</v>
      </c>
      <c r="B35" s="44" t="s">
        <v>193</v>
      </c>
      <c r="C35" s="44" t="s">
        <v>194</v>
      </c>
      <c r="D35" s="45" t="n">
        <v>51</v>
      </c>
      <c r="E35" s="45" t="n">
        <v>18</v>
      </c>
      <c r="F35" s="44" t="s">
        <v>131</v>
      </c>
      <c r="G35" s="44" t="s">
        <v>94</v>
      </c>
      <c r="H35" s="44" t="s">
        <v>90</v>
      </c>
    </row>
    <row r="36" customFormat="false" ht="15" hidden="false" customHeight="false" outlineLevel="0" collapsed="false">
      <c r="A36" s="41" t="s">
        <v>165</v>
      </c>
      <c r="B36" s="40" t="s">
        <v>110</v>
      </c>
      <c r="C36" s="40" t="s">
        <v>195</v>
      </c>
      <c r="D36" s="42" t="n">
        <v>51</v>
      </c>
      <c r="E36" s="42" t="n">
        <v>51</v>
      </c>
      <c r="F36" s="40" t="s">
        <v>106</v>
      </c>
      <c r="G36" s="40" t="s">
        <v>39</v>
      </c>
      <c r="H36" s="41" t="s">
        <v>112</v>
      </c>
    </row>
    <row r="37" customFormat="false" ht="15" hidden="false" customHeight="false" outlineLevel="0" collapsed="false">
      <c r="A37" s="47" t="s">
        <v>165</v>
      </c>
      <c r="B37" s="44" t="s">
        <v>159</v>
      </c>
      <c r="C37" s="44" t="s">
        <v>196</v>
      </c>
      <c r="D37" s="45" t="n">
        <v>47</v>
      </c>
      <c r="E37" s="45" t="n">
        <v>7</v>
      </c>
      <c r="F37" s="44" t="s">
        <v>106</v>
      </c>
      <c r="G37" s="44" t="s">
        <v>94</v>
      </c>
      <c r="H37" s="44" t="s">
        <v>90</v>
      </c>
    </row>
    <row r="38" customFormat="false" ht="15" hidden="false" customHeight="false" outlineLevel="0" collapsed="false">
      <c r="A38" s="41" t="s">
        <v>165</v>
      </c>
      <c r="B38" s="40" t="s">
        <v>197</v>
      </c>
      <c r="C38" s="40" t="s">
        <v>198</v>
      </c>
      <c r="D38" s="42" t="n">
        <v>38</v>
      </c>
      <c r="E38" s="42" t="n">
        <v>19</v>
      </c>
      <c r="F38" s="40" t="s">
        <v>199</v>
      </c>
      <c r="G38" s="40" t="s">
        <v>39</v>
      </c>
      <c r="H38" s="40" t="s">
        <v>90</v>
      </c>
    </row>
    <row r="39" customFormat="false" ht="15" hidden="false" customHeight="false" outlineLevel="0" collapsed="false">
      <c r="A39" s="47" t="s">
        <v>165</v>
      </c>
      <c r="B39" s="44" t="s">
        <v>110</v>
      </c>
      <c r="C39" s="44" t="s">
        <v>200</v>
      </c>
      <c r="D39" s="45" t="n">
        <v>35</v>
      </c>
      <c r="E39" s="45" t="n">
        <v>35</v>
      </c>
      <c r="F39" s="44" t="s">
        <v>106</v>
      </c>
      <c r="G39" s="44" t="s">
        <v>39</v>
      </c>
      <c r="H39" s="47" t="s">
        <v>112</v>
      </c>
    </row>
    <row r="40" customFormat="false" ht="15" hidden="false" customHeight="false" outlineLevel="0" collapsed="false">
      <c r="A40" s="41" t="s">
        <v>165</v>
      </c>
      <c r="B40" s="40" t="s">
        <v>201</v>
      </c>
      <c r="C40" s="40" t="s">
        <v>202</v>
      </c>
      <c r="D40" s="42" t="n">
        <v>30</v>
      </c>
      <c r="E40" s="42" t="n">
        <v>30</v>
      </c>
      <c r="F40" s="40" t="s">
        <v>121</v>
      </c>
      <c r="G40" s="40" t="s">
        <v>109</v>
      </c>
      <c r="H40" s="40" t="s">
        <v>90</v>
      </c>
    </row>
    <row r="41" customFormat="false" ht="15" hidden="false" customHeight="false" outlineLevel="0" collapsed="false">
      <c r="A41" s="47" t="s">
        <v>165</v>
      </c>
      <c r="B41" s="44" t="s">
        <v>203</v>
      </c>
      <c r="C41" s="44" t="s">
        <v>204</v>
      </c>
      <c r="D41" s="45" t="n">
        <v>26</v>
      </c>
      <c r="E41" s="45" t="n">
        <v>13</v>
      </c>
      <c r="F41" s="44" t="s">
        <v>199</v>
      </c>
      <c r="G41" s="44" t="s">
        <v>39</v>
      </c>
      <c r="H41" s="44" t="s">
        <v>90</v>
      </c>
    </row>
    <row r="42" customFormat="false" ht="15" hidden="false" customHeight="false" outlineLevel="0" collapsed="false">
      <c r="A42" s="41" t="s">
        <v>165</v>
      </c>
      <c r="B42" s="40" t="s">
        <v>205</v>
      </c>
      <c r="C42" s="40" t="s">
        <v>206</v>
      </c>
      <c r="D42" s="42" t="n">
        <v>21</v>
      </c>
      <c r="E42" s="42" t="n">
        <v>4</v>
      </c>
      <c r="F42" s="40" t="s">
        <v>106</v>
      </c>
      <c r="G42" s="40" t="s">
        <v>128</v>
      </c>
      <c r="H42" s="40" t="s">
        <v>90</v>
      </c>
    </row>
    <row r="43" customFormat="false" ht="15" hidden="false" customHeight="false" outlineLevel="0" collapsed="false">
      <c r="A43" s="47" t="s">
        <v>165</v>
      </c>
      <c r="B43" s="44" t="s">
        <v>207</v>
      </c>
      <c r="C43" s="44" t="s">
        <v>208</v>
      </c>
      <c r="D43" s="45" t="n">
        <v>16</v>
      </c>
      <c r="E43" s="45" t="n">
        <v>1</v>
      </c>
      <c r="F43" s="44" t="s">
        <v>131</v>
      </c>
      <c r="G43" s="44" t="s">
        <v>39</v>
      </c>
      <c r="H43" s="44" t="s">
        <v>90</v>
      </c>
    </row>
    <row r="44" customFormat="false" ht="15" hidden="false" customHeight="false" outlineLevel="0" collapsed="false">
      <c r="A44" s="41" t="s">
        <v>165</v>
      </c>
      <c r="B44" s="40" t="s">
        <v>201</v>
      </c>
      <c r="C44" s="41" t="s">
        <v>209</v>
      </c>
      <c r="D44" s="42" t="n">
        <v>4</v>
      </c>
      <c r="E44" s="42" t="n">
        <v>1</v>
      </c>
      <c r="F44" s="40" t="s">
        <v>121</v>
      </c>
      <c r="G44" s="40" t="s">
        <v>94</v>
      </c>
      <c r="H44" s="40" t="s">
        <v>90</v>
      </c>
    </row>
    <row r="45" customFormat="false" ht="15" hidden="false" customHeight="false" outlineLevel="0" collapsed="false">
      <c r="A45" s="47" t="s">
        <v>165</v>
      </c>
      <c r="B45" s="44" t="s">
        <v>210</v>
      </c>
      <c r="C45" s="44" t="s">
        <v>211</v>
      </c>
      <c r="D45" s="45" t="n">
        <v>2</v>
      </c>
      <c r="E45" s="45" t="n">
        <v>0</v>
      </c>
      <c r="F45" s="44" t="s">
        <v>212</v>
      </c>
      <c r="G45" s="44" t="s">
        <v>98</v>
      </c>
      <c r="H45" s="44" t="s">
        <v>90</v>
      </c>
    </row>
    <row r="46" customFormat="false" ht="15" hidden="false" customHeight="false" outlineLevel="0" collapsed="false">
      <c r="A46" s="41" t="s">
        <v>213</v>
      </c>
      <c r="B46" s="40" t="s">
        <v>91</v>
      </c>
      <c r="C46" s="40" t="s">
        <v>214</v>
      </c>
      <c r="D46" s="42" t="n">
        <v>8095</v>
      </c>
      <c r="E46" s="42" t="n">
        <v>1020</v>
      </c>
      <c r="F46" s="40" t="s">
        <v>93</v>
      </c>
      <c r="G46" s="40" t="s">
        <v>215</v>
      </c>
      <c r="H46" s="40" t="s">
        <v>90</v>
      </c>
    </row>
    <row r="47" customFormat="false" ht="15" hidden="false" customHeight="false" outlineLevel="0" collapsed="false">
      <c r="A47" s="47" t="s">
        <v>213</v>
      </c>
      <c r="B47" s="44" t="s">
        <v>216</v>
      </c>
      <c r="C47" s="44" t="s">
        <v>217</v>
      </c>
      <c r="D47" s="45" t="n">
        <v>2400</v>
      </c>
      <c r="E47" s="45" t="n">
        <v>578</v>
      </c>
      <c r="F47" s="44" t="s">
        <v>88</v>
      </c>
      <c r="G47" s="44" t="s">
        <v>128</v>
      </c>
      <c r="H47" s="44" t="s">
        <v>90</v>
      </c>
    </row>
    <row r="48" customFormat="false" ht="15" hidden="false" customHeight="false" outlineLevel="0" collapsed="false">
      <c r="A48" s="41" t="s">
        <v>213</v>
      </c>
      <c r="B48" s="40" t="s">
        <v>218</v>
      </c>
      <c r="C48" s="40" t="s">
        <v>219</v>
      </c>
      <c r="D48" s="42" t="n">
        <v>1600</v>
      </c>
      <c r="E48" s="42" t="n">
        <v>289</v>
      </c>
      <c r="F48" s="40" t="s">
        <v>88</v>
      </c>
      <c r="G48" s="40" t="s">
        <v>98</v>
      </c>
      <c r="H48" s="40" t="s">
        <v>90</v>
      </c>
    </row>
    <row r="49" customFormat="false" ht="15" hidden="false" customHeight="false" outlineLevel="0" collapsed="false">
      <c r="A49" s="47" t="s">
        <v>213</v>
      </c>
      <c r="B49" s="44" t="s">
        <v>220</v>
      </c>
      <c r="C49" s="44" t="s">
        <v>221</v>
      </c>
      <c r="D49" s="45" t="n">
        <v>1270</v>
      </c>
      <c r="E49" s="45" t="n">
        <v>270</v>
      </c>
      <c r="F49" s="44" t="s">
        <v>88</v>
      </c>
      <c r="G49" s="44" t="s">
        <v>94</v>
      </c>
      <c r="H49" s="44" t="s">
        <v>90</v>
      </c>
    </row>
    <row r="50" customFormat="false" ht="15" hidden="false" customHeight="false" outlineLevel="0" collapsed="false">
      <c r="A50" s="41" t="s">
        <v>213</v>
      </c>
      <c r="B50" s="40" t="s">
        <v>110</v>
      </c>
      <c r="C50" s="40" t="s">
        <v>222</v>
      </c>
      <c r="D50" s="42" t="n">
        <v>1231</v>
      </c>
      <c r="E50" s="42" t="n">
        <v>0</v>
      </c>
      <c r="F50" s="40" t="s">
        <v>106</v>
      </c>
      <c r="G50" s="40" t="s">
        <v>39</v>
      </c>
      <c r="H50" s="41" t="s">
        <v>112</v>
      </c>
    </row>
    <row r="51" customFormat="false" ht="15" hidden="false" customHeight="false" outlineLevel="0" collapsed="false">
      <c r="A51" s="47" t="s">
        <v>213</v>
      </c>
      <c r="B51" s="44" t="s">
        <v>110</v>
      </c>
      <c r="C51" s="44" t="s">
        <v>223</v>
      </c>
      <c r="D51" s="45" t="n">
        <v>1166</v>
      </c>
      <c r="E51" s="45" t="n">
        <v>0</v>
      </c>
      <c r="F51" s="44" t="s">
        <v>106</v>
      </c>
      <c r="G51" s="44" t="s">
        <v>39</v>
      </c>
      <c r="H51" s="47" t="s">
        <v>112</v>
      </c>
    </row>
    <row r="52" customFormat="false" ht="15" hidden="false" customHeight="false" outlineLevel="0" collapsed="false">
      <c r="A52" s="41" t="s">
        <v>213</v>
      </c>
      <c r="B52" s="40" t="s">
        <v>180</v>
      </c>
      <c r="C52" s="40" t="s">
        <v>224</v>
      </c>
      <c r="D52" s="42" t="n">
        <v>900</v>
      </c>
      <c r="E52" s="42" t="n">
        <v>327</v>
      </c>
      <c r="F52" s="40" t="s">
        <v>121</v>
      </c>
      <c r="G52" s="40" t="s">
        <v>94</v>
      </c>
      <c r="H52" s="41" t="s">
        <v>158</v>
      </c>
    </row>
    <row r="53" customFormat="false" ht="15" hidden="false" customHeight="false" outlineLevel="0" collapsed="false">
      <c r="A53" s="47" t="s">
        <v>213</v>
      </c>
      <c r="B53" s="44" t="s">
        <v>225</v>
      </c>
      <c r="C53" s="44" t="s">
        <v>226</v>
      </c>
      <c r="D53" s="45" t="n">
        <v>880</v>
      </c>
      <c r="E53" s="45" t="n">
        <v>150</v>
      </c>
      <c r="F53" s="44" t="s">
        <v>88</v>
      </c>
      <c r="G53" s="44" t="s">
        <v>128</v>
      </c>
      <c r="H53" s="44" t="s">
        <v>90</v>
      </c>
    </row>
    <row r="54" customFormat="false" ht="15" hidden="false" customHeight="false" outlineLevel="0" collapsed="false">
      <c r="A54" s="41" t="s">
        <v>213</v>
      </c>
      <c r="B54" s="40" t="s">
        <v>154</v>
      </c>
      <c r="C54" s="40" t="s">
        <v>227</v>
      </c>
      <c r="D54" s="42" t="n">
        <v>550</v>
      </c>
      <c r="E54" s="42" t="n">
        <v>459</v>
      </c>
      <c r="F54" s="40" t="s">
        <v>121</v>
      </c>
      <c r="G54" s="40" t="s">
        <v>109</v>
      </c>
      <c r="H54" s="40" t="s">
        <v>90</v>
      </c>
    </row>
    <row r="55" customFormat="false" ht="15" hidden="false" customHeight="false" outlineLevel="0" collapsed="false">
      <c r="A55" s="47" t="s">
        <v>213</v>
      </c>
      <c r="B55" s="44" t="s">
        <v>228</v>
      </c>
      <c r="C55" s="44" t="s">
        <v>229</v>
      </c>
      <c r="D55" s="45" t="n">
        <v>523</v>
      </c>
      <c r="E55" s="45" t="n">
        <v>168</v>
      </c>
      <c r="F55" s="44" t="s">
        <v>97</v>
      </c>
      <c r="G55" s="44" t="s">
        <v>132</v>
      </c>
      <c r="H55" s="44" t="s">
        <v>90</v>
      </c>
    </row>
    <row r="56" customFormat="false" ht="15" hidden="false" customHeight="false" outlineLevel="0" collapsed="false">
      <c r="A56" s="41" t="s">
        <v>213</v>
      </c>
      <c r="B56" s="40" t="s">
        <v>86</v>
      </c>
      <c r="C56" s="41" t="s">
        <v>230</v>
      </c>
      <c r="D56" s="42" t="n">
        <v>500</v>
      </c>
      <c r="E56" s="42" t="n">
        <v>78</v>
      </c>
      <c r="F56" s="40" t="s">
        <v>88</v>
      </c>
      <c r="G56" s="40" t="s">
        <v>89</v>
      </c>
      <c r="H56" s="40" t="s">
        <v>90</v>
      </c>
    </row>
    <row r="57" customFormat="false" ht="15" hidden="false" customHeight="false" outlineLevel="0" collapsed="false">
      <c r="A57" s="47" t="s">
        <v>213</v>
      </c>
      <c r="B57" s="44" t="s">
        <v>231</v>
      </c>
      <c r="C57" s="44" t="s">
        <v>232</v>
      </c>
      <c r="D57" s="45" t="n">
        <v>280</v>
      </c>
      <c r="E57" s="45" t="n">
        <v>63</v>
      </c>
      <c r="F57" s="44" t="s">
        <v>97</v>
      </c>
      <c r="G57" s="44" t="s">
        <v>94</v>
      </c>
      <c r="H57" s="44" t="s">
        <v>90</v>
      </c>
    </row>
    <row r="58" customFormat="false" ht="15" hidden="false" customHeight="false" outlineLevel="0" collapsed="false">
      <c r="A58" s="41" t="s">
        <v>213</v>
      </c>
      <c r="B58" s="40" t="s">
        <v>233</v>
      </c>
      <c r="C58" s="40" t="s">
        <v>234</v>
      </c>
      <c r="D58" s="42" t="n">
        <v>242</v>
      </c>
      <c r="E58" s="42" t="n">
        <v>48</v>
      </c>
      <c r="F58" s="40" t="s">
        <v>97</v>
      </c>
      <c r="G58" s="40" t="s">
        <v>132</v>
      </c>
      <c r="H58" s="40" t="s">
        <v>90</v>
      </c>
    </row>
    <row r="59" customFormat="false" ht="15" hidden="false" customHeight="false" outlineLevel="0" collapsed="false">
      <c r="A59" s="47" t="s">
        <v>213</v>
      </c>
      <c r="B59" s="44" t="s">
        <v>169</v>
      </c>
      <c r="C59" s="44" t="s">
        <v>235</v>
      </c>
      <c r="D59" s="45" t="n">
        <v>200</v>
      </c>
      <c r="E59" s="45" t="n">
        <v>162</v>
      </c>
      <c r="F59" s="44" t="s">
        <v>88</v>
      </c>
      <c r="G59" s="44" t="s">
        <v>109</v>
      </c>
      <c r="H59" s="44" t="s">
        <v>90</v>
      </c>
    </row>
    <row r="60" customFormat="false" ht="15" hidden="false" customHeight="false" outlineLevel="0" collapsed="false">
      <c r="A60" s="41" t="s">
        <v>213</v>
      </c>
      <c r="B60" s="41" t="s">
        <v>236</v>
      </c>
      <c r="C60" s="40" t="s">
        <v>237</v>
      </c>
      <c r="D60" s="42" t="n">
        <v>184</v>
      </c>
      <c r="E60" s="42" t="n">
        <v>34</v>
      </c>
      <c r="F60" s="40" t="s">
        <v>131</v>
      </c>
      <c r="G60" s="40" t="s">
        <v>132</v>
      </c>
      <c r="H60" s="40" t="s">
        <v>90</v>
      </c>
    </row>
    <row r="61" customFormat="false" ht="15" hidden="false" customHeight="false" outlineLevel="0" collapsed="false">
      <c r="A61" s="47" t="s">
        <v>213</v>
      </c>
      <c r="B61" s="44" t="s">
        <v>180</v>
      </c>
      <c r="C61" s="44" t="s">
        <v>238</v>
      </c>
      <c r="D61" s="45" t="n">
        <v>175</v>
      </c>
      <c r="E61" s="45" t="n">
        <v>1</v>
      </c>
      <c r="F61" s="44" t="s">
        <v>93</v>
      </c>
      <c r="G61" s="44" t="s">
        <v>94</v>
      </c>
      <c r="H61" s="47" t="s">
        <v>158</v>
      </c>
    </row>
    <row r="62" customFormat="false" ht="15" hidden="false" customHeight="false" outlineLevel="0" collapsed="false">
      <c r="A62" s="41" t="s">
        <v>213</v>
      </c>
      <c r="B62" s="40" t="s">
        <v>159</v>
      </c>
      <c r="C62" s="40" t="s">
        <v>239</v>
      </c>
      <c r="D62" s="42" t="n">
        <v>156</v>
      </c>
      <c r="E62" s="42" t="n">
        <v>24</v>
      </c>
      <c r="F62" s="40" t="s">
        <v>106</v>
      </c>
      <c r="G62" s="40" t="s">
        <v>89</v>
      </c>
      <c r="H62" s="40" t="s">
        <v>90</v>
      </c>
    </row>
    <row r="63" customFormat="false" ht="15" hidden="false" customHeight="false" outlineLevel="0" collapsed="false">
      <c r="A63" s="47" t="s">
        <v>213</v>
      </c>
      <c r="B63" s="44" t="s">
        <v>113</v>
      </c>
      <c r="C63" s="47" t="s">
        <v>240</v>
      </c>
      <c r="D63" s="45" t="n">
        <v>137</v>
      </c>
      <c r="E63" s="45" t="n">
        <v>14</v>
      </c>
      <c r="F63" s="44" t="s">
        <v>88</v>
      </c>
      <c r="G63" s="44" t="s">
        <v>94</v>
      </c>
      <c r="H63" s="44" t="s">
        <v>90</v>
      </c>
    </row>
    <row r="64" customFormat="false" ht="15" hidden="false" customHeight="false" outlineLevel="0" collapsed="false">
      <c r="A64" s="41" t="s">
        <v>213</v>
      </c>
      <c r="B64" s="40" t="s">
        <v>241</v>
      </c>
      <c r="C64" s="40" t="s">
        <v>242</v>
      </c>
      <c r="D64" s="42" t="n">
        <v>130</v>
      </c>
      <c r="E64" s="42" t="n">
        <v>26</v>
      </c>
      <c r="F64" s="40" t="s">
        <v>88</v>
      </c>
      <c r="G64" s="40" t="s">
        <v>215</v>
      </c>
      <c r="H64" s="40" t="s">
        <v>90</v>
      </c>
    </row>
    <row r="65" customFormat="false" ht="15" hidden="false" customHeight="false" outlineLevel="0" collapsed="false">
      <c r="A65" s="47" t="s">
        <v>213</v>
      </c>
      <c r="B65" s="44" t="s">
        <v>243</v>
      </c>
      <c r="C65" s="47" t="s">
        <v>244</v>
      </c>
      <c r="D65" s="45" t="n">
        <v>100</v>
      </c>
      <c r="E65" s="45" t="n">
        <v>19</v>
      </c>
      <c r="F65" s="44" t="s">
        <v>88</v>
      </c>
      <c r="G65" s="44" t="s">
        <v>132</v>
      </c>
      <c r="H65" s="44" t="s">
        <v>90</v>
      </c>
    </row>
    <row r="66" customFormat="false" ht="15" hidden="false" customHeight="false" outlineLevel="0" collapsed="false">
      <c r="A66" s="41" t="s">
        <v>213</v>
      </c>
      <c r="B66" s="40" t="s">
        <v>184</v>
      </c>
      <c r="C66" s="40" t="s">
        <v>245</v>
      </c>
      <c r="D66" s="42" t="n">
        <v>98</v>
      </c>
      <c r="E66" s="42" t="n">
        <v>34</v>
      </c>
      <c r="F66" s="40" t="s">
        <v>121</v>
      </c>
      <c r="G66" s="40" t="s">
        <v>94</v>
      </c>
      <c r="H66" s="40" t="s">
        <v>90</v>
      </c>
    </row>
    <row r="67" customFormat="false" ht="15" hidden="false" customHeight="false" outlineLevel="0" collapsed="false">
      <c r="A67" s="47" t="s">
        <v>213</v>
      </c>
      <c r="B67" s="44" t="s">
        <v>125</v>
      </c>
      <c r="C67" s="44" t="s">
        <v>246</v>
      </c>
      <c r="D67" s="45" t="n">
        <v>80</v>
      </c>
      <c r="E67" s="45" t="n">
        <v>30</v>
      </c>
      <c r="F67" s="44" t="s">
        <v>88</v>
      </c>
      <c r="G67" s="44" t="s">
        <v>39</v>
      </c>
      <c r="H67" s="44" t="s">
        <v>90</v>
      </c>
    </row>
    <row r="68" customFormat="false" ht="15" hidden="false" customHeight="false" outlineLevel="0" collapsed="false">
      <c r="A68" s="41" t="s">
        <v>213</v>
      </c>
      <c r="B68" s="40" t="s">
        <v>159</v>
      </c>
      <c r="C68" s="40" t="s">
        <v>247</v>
      </c>
      <c r="D68" s="42" t="n">
        <v>63</v>
      </c>
      <c r="E68" s="42" t="n">
        <v>27</v>
      </c>
      <c r="F68" s="40" t="s">
        <v>106</v>
      </c>
      <c r="G68" s="40" t="s">
        <v>89</v>
      </c>
      <c r="H68" s="40" t="s">
        <v>90</v>
      </c>
    </row>
    <row r="69" customFormat="false" ht="15" hidden="false" customHeight="false" outlineLevel="0" collapsed="false">
      <c r="A69" s="47" t="s">
        <v>213</v>
      </c>
      <c r="B69" s="47" t="s">
        <v>236</v>
      </c>
      <c r="C69" s="44" t="s">
        <v>248</v>
      </c>
      <c r="D69" s="45" t="n">
        <v>58</v>
      </c>
      <c r="E69" s="45" t="n">
        <v>11</v>
      </c>
      <c r="F69" s="44" t="s">
        <v>131</v>
      </c>
      <c r="G69" s="44" t="s">
        <v>109</v>
      </c>
      <c r="H69" s="44" t="s">
        <v>90</v>
      </c>
    </row>
    <row r="70" customFormat="false" ht="15" hidden="false" customHeight="false" outlineLevel="0" collapsed="false">
      <c r="A70" s="41" t="s">
        <v>213</v>
      </c>
      <c r="B70" s="40" t="s">
        <v>159</v>
      </c>
      <c r="C70" s="40" t="s">
        <v>249</v>
      </c>
      <c r="D70" s="42" t="n">
        <v>41</v>
      </c>
      <c r="E70" s="42" t="n">
        <v>6</v>
      </c>
      <c r="F70" s="40" t="s">
        <v>106</v>
      </c>
      <c r="G70" s="40" t="s">
        <v>89</v>
      </c>
      <c r="H70" s="40" t="s">
        <v>90</v>
      </c>
    </row>
    <row r="71" customFormat="false" ht="15" hidden="false" customHeight="false" outlineLevel="0" collapsed="false">
      <c r="A71" s="47" t="s">
        <v>213</v>
      </c>
      <c r="B71" s="44" t="s">
        <v>250</v>
      </c>
      <c r="C71" s="44" t="s">
        <v>251</v>
      </c>
      <c r="D71" s="45" t="n">
        <v>32</v>
      </c>
      <c r="E71" s="45" t="n">
        <v>6</v>
      </c>
      <c r="F71" s="44" t="s">
        <v>88</v>
      </c>
      <c r="G71" s="44" t="s">
        <v>94</v>
      </c>
      <c r="H71" s="44" t="s">
        <v>90</v>
      </c>
    </row>
    <row r="72" customFormat="false" ht="15" hidden="false" customHeight="false" outlineLevel="0" collapsed="false">
      <c r="A72" s="41" t="s">
        <v>213</v>
      </c>
      <c r="B72" s="40" t="s">
        <v>110</v>
      </c>
      <c r="C72" s="41" t="s">
        <v>252</v>
      </c>
      <c r="D72" s="42" t="n">
        <v>32</v>
      </c>
      <c r="E72" s="42" t="n">
        <v>32</v>
      </c>
      <c r="F72" s="40" t="s">
        <v>106</v>
      </c>
      <c r="G72" s="40" t="s">
        <v>39</v>
      </c>
      <c r="H72" s="41" t="s">
        <v>112</v>
      </c>
    </row>
    <row r="73" customFormat="false" ht="15" hidden="false" customHeight="false" outlineLevel="0" collapsed="false">
      <c r="A73" s="47" t="s">
        <v>213</v>
      </c>
      <c r="B73" s="44" t="s">
        <v>253</v>
      </c>
      <c r="C73" s="44" t="s">
        <v>254</v>
      </c>
      <c r="D73" s="45" t="n">
        <v>31</v>
      </c>
      <c r="E73" s="45" t="n">
        <v>9</v>
      </c>
      <c r="F73" s="44" t="s">
        <v>255</v>
      </c>
      <c r="G73" s="44" t="s">
        <v>94</v>
      </c>
      <c r="H73" s="44" t="s">
        <v>90</v>
      </c>
    </row>
    <row r="74" customFormat="false" ht="15" hidden="false" customHeight="false" outlineLevel="0" collapsed="false">
      <c r="A74" s="41" t="s">
        <v>213</v>
      </c>
      <c r="B74" s="40" t="s">
        <v>203</v>
      </c>
      <c r="C74" s="40" t="s">
        <v>256</v>
      </c>
      <c r="D74" s="42" t="n">
        <v>16</v>
      </c>
      <c r="E74" s="42" t="n">
        <v>1</v>
      </c>
      <c r="F74" s="40" t="s">
        <v>199</v>
      </c>
      <c r="G74" s="40" t="s">
        <v>39</v>
      </c>
      <c r="H74" s="40" t="s">
        <v>90</v>
      </c>
    </row>
    <row r="75" customFormat="false" ht="15" hidden="false" customHeight="false" outlineLevel="0" collapsed="false">
      <c r="A75" s="47" t="s">
        <v>257</v>
      </c>
      <c r="B75" s="44" t="s">
        <v>110</v>
      </c>
      <c r="C75" s="44" t="s">
        <v>258</v>
      </c>
      <c r="D75" s="45" t="n">
        <v>5993</v>
      </c>
      <c r="E75" s="45" t="n">
        <v>5993</v>
      </c>
      <c r="F75" s="44" t="s">
        <v>106</v>
      </c>
      <c r="G75" s="44" t="s">
        <v>39</v>
      </c>
      <c r="H75" s="47" t="s">
        <v>112</v>
      </c>
    </row>
    <row r="76" customFormat="false" ht="15" hidden="false" customHeight="false" outlineLevel="0" collapsed="false">
      <c r="A76" s="41" t="s">
        <v>257</v>
      </c>
      <c r="B76" s="40" t="s">
        <v>86</v>
      </c>
      <c r="C76" s="41" t="s">
        <v>259</v>
      </c>
      <c r="D76" s="42" t="n">
        <v>2610</v>
      </c>
      <c r="E76" s="42" t="n">
        <v>471</v>
      </c>
      <c r="F76" s="40" t="s">
        <v>88</v>
      </c>
      <c r="G76" s="40" t="s">
        <v>89</v>
      </c>
      <c r="H76" s="40" t="s">
        <v>90</v>
      </c>
    </row>
    <row r="77" customFormat="false" ht="15" hidden="false" customHeight="false" outlineLevel="0" collapsed="false">
      <c r="A77" s="47" t="s">
        <v>257</v>
      </c>
      <c r="B77" s="44" t="s">
        <v>260</v>
      </c>
      <c r="C77" s="44" t="s">
        <v>261</v>
      </c>
      <c r="D77" s="45" t="n">
        <v>2156</v>
      </c>
      <c r="E77" s="45" t="n">
        <v>455</v>
      </c>
      <c r="F77" s="44" t="s">
        <v>88</v>
      </c>
      <c r="G77" s="44" t="s">
        <v>89</v>
      </c>
      <c r="H77" s="47" t="s">
        <v>158</v>
      </c>
    </row>
    <row r="78" customFormat="false" ht="15" hidden="false" customHeight="false" outlineLevel="0" collapsed="false">
      <c r="A78" s="41" t="s">
        <v>257</v>
      </c>
      <c r="B78" s="40" t="s">
        <v>201</v>
      </c>
      <c r="C78" s="41" t="s">
        <v>262</v>
      </c>
      <c r="D78" s="42" t="n">
        <v>1200</v>
      </c>
      <c r="E78" s="42" t="n">
        <v>374</v>
      </c>
      <c r="F78" s="40" t="s">
        <v>93</v>
      </c>
      <c r="G78" s="40" t="s">
        <v>94</v>
      </c>
      <c r="H78" s="40" t="s">
        <v>90</v>
      </c>
    </row>
    <row r="79" customFormat="false" ht="15" hidden="false" customHeight="false" outlineLevel="0" collapsed="false">
      <c r="A79" s="47" t="s">
        <v>257</v>
      </c>
      <c r="B79" s="44" t="s">
        <v>263</v>
      </c>
      <c r="C79" s="44" t="s">
        <v>264</v>
      </c>
      <c r="D79" s="45" t="n">
        <v>924</v>
      </c>
      <c r="E79" s="45" t="n">
        <v>364</v>
      </c>
      <c r="F79" s="44" t="s">
        <v>88</v>
      </c>
      <c r="G79" s="44" t="s">
        <v>94</v>
      </c>
      <c r="H79" s="47" t="s">
        <v>158</v>
      </c>
    </row>
    <row r="80" customFormat="false" ht="15" hidden="false" customHeight="false" outlineLevel="0" collapsed="false">
      <c r="A80" s="41" t="s">
        <v>257</v>
      </c>
      <c r="B80" s="40" t="s">
        <v>265</v>
      </c>
      <c r="C80" s="40" t="s">
        <v>266</v>
      </c>
      <c r="D80" s="42" t="n">
        <v>674</v>
      </c>
      <c r="E80" s="42" t="n">
        <v>129</v>
      </c>
      <c r="F80" s="40" t="s">
        <v>88</v>
      </c>
      <c r="G80" s="40" t="s">
        <v>89</v>
      </c>
      <c r="H80" s="40" t="s">
        <v>90</v>
      </c>
    </row>
    <row r="81" customFormat="false" ht="15" hidden="false" customHeight="false" outlineLevel="0" collapsed="false">
      <c r="A81" s="47" t="s">
        <v>257</v>
      </c>
      <c r="B81" s="44" t="s">
        <v>86</v>
      </c>
      <c r="C81" s="47" t="s">
        <v>267</v>
      </c>
      <c r="D81" s="45" t="n">
        <v>661</v>
      </c>
      <c r="E81" s="45" t="n">
        <v>131</v>
      </c>
      <c r="F81" s="44" t="s">
        <v>88</v>
      </c>
      <c r="G81" s="44" t="s">
        <v>89</v>
      </c>
      <c r="H81" s="44" t="s">
        <v>90</v>
      </c>
    </row>
    <row r="82" customFormat="false" ht="15" hidden="false" customHeight="false" outlineLevel="0" collapsed="false">
      <c r="A82" s="41" t="s">
        <v>257</v>
      </c>
      <c r="B82" s="41" t="s">
        <v>268</v>
      </c>
      <c r="C82" s="41" t="s">
        <v>269</v>
      </c>
      <c r="D82" s="42" t="n">
        <v>455</v>
      </c>
      <c r="E82" s="42" t="n">
        <v>87</v>
      </c>
      <c r="F82" s="40" t="s">
        <v>121</v>
      </c>
      <c r="G82" s="40" t="s">
        <v>132</v>
      </c>
      <c r="H82" s="41" t="s">
        <v>158</v>
      </c>
    </row>
    <row r="83" customFormat="false" ht="15" hidden="false" customHeight="false" outlineLevel="0" collapsed="false">
      <c r="A83" s="47" t="s">
        <v>257</v>
      </c>
      <c r="B83" s="44" t="s">
        <v>86</v>
      </c>
      <c r="C83" s="47" t="s">
        <v>270</v>
      </c>
      <c r="D83" s="45" t="n">
        <v>178</v>
      </c>
      <c r="E83" s="45" t="n">
        <v>38</v>
      </c>
      <c r="F83" s="44" t="s">
        <v>88</v>
      </c>
      <c r="G83" s="44" t="s">
        <v>94</v>
      </c>
      <c r="H83" s="44" t="s">
        <v>90</v>
      </c>
    </row>
    <row r="84" customFormat="false" ht="15" hidden="false" customHeight="false" outlineLevel="0" collapsed="false">
      <c r="A84" s="41" t="s">
        <v>257</v>
      </c>
      <c r="B84" s="40" t="s">
        <v>113</v>
      </c>
      <c r="C84" s="40" t="s">
        <v>271</v>
      </c>
      <c r="D84" s="42" t="n">
        <v>110</v>
      </c>
      <c r="E84" s="42" t="n">
        <v>18</v>
      </c>
      <c r="F84" s="40" t="s">
        <v>88</v>
      </c>
      <c r="G84" s="40" t="s">
        <v>94</v>
      </c>
      <c r="H84" s="40" t="s">
        <v>90</v>
      </c>
    </row>
    <row r="85" customFormat="false" ht="15" hidden="false" customHeight="false" outlineLevel="0" collapsed="false">
      <c r="A85" s="47" t="s">
        <v>257</v>
      </c>
      <c r="B85" s="44" t="s">
        <v>201</v>
      </c>
      <c r="C85" s="47" t="s">
        <v>272</v>
      </c>
      <c r="D85" s="45" t="n">
        <v>70</v>
      </c>
      <c r="E85" s="45" t="n">
        <v>70</v>
      </c>
      <c r="F85" s="44" t="s">
        <v>93</v>
      </c>
      <c r="G85" s="44" t="s">
        <v>109</v>
      </c>
      <c r="H85" s="44" t="s">
        <v>90</v>
      </c>
    </row>
    <row r="86" customFormat="false" ht="15" hidden="false" customHeight="false" outlineLevel="0" collapsed="false">
      <c r="A86" s="41" t="s">
        <v>257</v>
      </c>
      <c r="B86" s="40" t="s">
        <v>86</v>
      </c>
      <c r="C86" s="41" t="s">
        <v>273</v>
      </c>
      <c r="D86" s="42" t="n">
        <v>40</v>
      </c>
      <c r="E86" s="42" t="n">
        <v>16</v>
      </c>
      <c r="F86" s="40" t="s">
        <v>88</v>
      </c>
      <c r="G86" s="40" t="s">
        <v>94</v>
      </c>
      <c r="H86" s="40" t="s">
        <v>90</v>
      </c>
    </row>
    <row r="87" customFormat="false" ht="15" hidden="false" customHeight="false" outlineLevel="0" collapsed="false">
      <c r="A87" s="47" t="s">
        <v>257</v>
      </c>
      <c r="B87" s="44" t="s">
        <v>110</v>
      </c>
      <c r="C87" s="44" t="s">
        <v>274</v>
      </c>
      <c r="D87" s="45" t="n">
        <v>33</v>
      </c>
      <c r="E87" s="45" t="n">
        <v>33</v>
      </c>
      <c r="F87" s="44" t="s">
        <v>106</v>
      </c>
      <c r="G87" s="44" t="s">
        <v>39</v>
      </c>
      <c r="H87" s="47" t="s">
        <v>112</v>
      </c>
    </row>
    <row r="88" customFormat="false" ht="15" hidden="false" customHeight="false" outlineLevel="0" collapsed="false">
      <c r="A88" s="41" t="s">
        <v>257</v>
      </c>
      <c r="B88" s="40" t="s">
        <v>250</v>
      </c>
      <c r="C88" s="40" t="s">
        <v>275</v>
      </c>
      <c r="D88" s="42" t="n">
        <v>21</v>
      </c>
      <c r="E88" s="42" t="n">
        <v>4</v>
      </c>
      <c r="F88" s="40" t="s">
        <v>88</v>
      </c>
      <c r="G88" s="40" t="s">
        <v>94</v>
      </c>
      <c r="H88" s="40" t="s">
        <v>90</v>
      </c>
    </row>
    <row r="89" customFormat="false" ht="15" hidden="false" customHeight="false" outlineLevel="0" collapsed="false">
      <c r="A89" s="47" t="s">
        <v>276</v>
      </c>
      <c r="B89" s="44" t="s">
        <v>110</v>
      </c>
      <c r="C89" s="44" t="s">
        <v>277</v>
      </c>
      <c r="D89" s="45" t="n">
        <v>2045</v>
      </c>
      <c r="E89" s="45" t="n">
        <v>2045</v>
      </c>
      <c r="F89" s="44" t="s">
        <v>106</v>
      </c>
      <c r="G89" s="44" t="s">
        <v>39</v>
      </c>
      <c r="H89" s="47" t="s">
        <v>112</v>
      </c>
    </row>
    <row r="90" customFormat="false" ht="15" hidden="false" customHeight="false" outlineLevel="0" collapsed="false">
      <c r="A90" s="41" t="s">
        <v>276</v>
      </c>
      <c r="B90" s="40" t="s">
        <v>119</v>
      </c>
      <c r="C90" s="40" t="s">
        <v>278</v>
      </c>
      <c r="D90" s="42" t="n">
        <v>480</v>
      </c>
      <c r="E90" s="42" t="n">
        <v>85</v>
      </c>
      <c r="F90" s="40" t="s">
        <v>121</v>
      </c>
      <c r="G90" s="40" t="s">
        <v>89</v>
      </c>
      <c r="H90" s="40" t="s">
        <v>90</v>
      </c>
    </row>
    <row r="91" customFormat="false" ht="15" hidden="false" customHeight="false" outlineLevel="0" collapsed="false">
      <c r="A91" s="47" t="s">
        <v>276</v>
      </c>
      <c r="B91" s="44" t="s">
        <v>182</v>
      </c>
      <c r="C91" s="47" t="s">
        <v>279</v>
      </c>
      <c r="D91" s="45" t="n">
        <v>430</v>
      </c>
      <c r="E91" s="45" t="n">
        <v>-227</v>
      </c>
      <c r="F91" s="44" t="s">
        <v>88</v>
      </c>
      <c r="G91" s="44" t="s">
        <v>94</v>
      </c>
      <c r="H91" s="44" t="s">
        <v>90</v>
      </c>
    </row>
    <row r="92" customFormat="false" ht="15" hidden="false" customHeight="false" outlineLevel="0" collapsed="false">
      <c r="A92" s="41" t="s">
        <v>276</v>
      </c>
      <c r="B92" s="40" t="s">
        <v>119</v>
      </c>
      <c r="C92" s="40" t="s">
        <v>280</v>
      </c>
      <c r="D92" s="42" t="n">
        <v>384</v>
      </c>
      <c r="E92" s="42" t="n">
        <v>128</v>
      </c>
      <c r="F92" s="40" t="s">
        <v>121</v>
      </c>
      <c r="G92" s="40" t="s">
        <v>89</v>
      </c>
      <c r="H92" s="40" t="s">
        <v>90</v>
      </c>
    </row>
    <row r="93" customFormat="false" ht="15" hidden="false" customHeight="false" outlineLevel="0" collapsed="false">
      <c r="A93" s="47" t="s">
        <v>276</v>
      </c>
      <c r="B93" s="44" t="s">
        <v>119</v>
      </c>
      <c r="C93" s="44" t="s">
        <v>281</v>
      </c>
      <c r="D93" s="45" t="n">
        <v>276</v>
      </c>
      <c r="E93" s="45" t="n">
        <v>123</v>
      </c>
      <c r="F93" s="44" t="s">
        <v>121</v>
      </c>
      <c r="G93" s="44" t="s">
        <v>94</v>
      </c>
      <c r="H93" s="44" t="s">
        <v>90</v>
      </c>
    </row>
    <row r="94" customFormat="false" ht="15" hidden="false" customHeight="false" outlineLevel="0" collapsed="false">
      <c r="A94" s="41" t="s">
        <v>276</v>
      </c>
      <c r="B94" s="41" t="s">
        <v>236</v>
      </c>
      <c r="C94" s="40" t="s">
        <v>282</v>
      </c>
      <c r="D94" s="42" t="n">
        <v>152</v>
      </c>
      <c r="E94" s="42" t="n">
        <v>28</v>
      </c>
      <c r="F94" s="40" t="s">
        <v>131</v>
      </c>
      <c r="G94" s="40" t="s">
        <v>109</v>
      </c>
      <c r="H94" s="40" t="s">
        <v>90</v>
      </c>
    </row>
    <row r="95" customFormat="false" ht="15" hidden="false" customHeight="false" outlineLevel="0" collapsed="false">
      <c r="A95" s="47" t="s">
        <v>276</v>
      </c>
      <c r="B95" s="47" t="s">
        <v>236</v>
      </c>
      <c r="C95" s="44" t="s">
        <v>283</v>
      </c>
      <c r="D95" s="45" t="n">
        <v>148</v>
      </c>
      <c r="E95" s="45" t="n">
        <v>27</v>
      </c>
      <c r="F95" s="44" t="s">
        <v>131</v>
      </c>
      <c r="G95" s="44" t="s">
        <v>109</v>
      </c>
      <c r="H95" s="44" t="s">
        <v>90</v>
      </c>
    </row>
    <row r="96" customFormat="false" ht="15" hidden="false" customHeight="false" outlineLevel="0" collapsed="false">
      <c r="A96" s="41" t="s">
        <v>276</v>
      </c>
      <c r="B96" s="40" t="s">
        <v>205</v>
      </c>
      <c r="C96" s="40" t="s">
        <v>206</v>
      </c>
      <c r="D96" s="42" t="n">
        <v>139</v>
      </c>
      <c r="E96" s="42" t="n">
        <v>19</v>
      </c>
      <c r="F96" s="40" t="s">
        <v>106</v>
      </c>
      <c r="G96" s="40" t="s">
        <v>94</v>
      </c>
      <c r="H96" s="40" t="s">
        <v>90</v>
      </c>
    </row>
    <row r="97" customFormat="false" ht="15" hidden="false" customHeight="false" outlineLevel="0" collapsed="false">
      <c r="A97" s="47" t="s">
        <v>276</v>
      </c>
      <c r="B97" s="44" t="s">
        <v>284</v>
      </c>
      <c r="C97" s="44" t="s">
        <v>285</v>
      </c>
      <c r="D97" s="45" t="n">
        <v>90</v>
      </c>
      <c r="E97" s="45" t="n">
        <v>35</v>
      </c>
      <c r="F97" s="44" t="s">
        <v>121</v>
      </c>
      <c r="G97" s="44" t="s">
        <v>109</v>
      </c>
      <c r="H97" s="44" t="s">
        <v>90</v>
      </c>
    </row>
    <row r="98" customFormat="false" ht="15" hidden="false" customHeight="false" outlineLevel="0" collapsed="false">
      <c r="A98" s="41" t="s">
        <v>276</v>
      </c>
      <c r="B98" s="40" t="s">
        <v>286</v>
      </c>
      <c r="C98" s="40" t="s">
        <v>287</v>
      </c>
      <c r="D98" s="42" t="n">
        <v>38</v>
      </c>
      <c r="E98" s="42" t="n">
        <v>22</v>
      </c>
      <c r="F98" s="40" t="s">
        <v>121</v>
      </c>
      <c r="G98" s="40" t="s">
        <v>128</v>
      </c>
      <c r="H98" s="41" t="s">
        <v>158</v>
      </c>
    </row>
    <row r="99" customFormat="false" ht="15" hidden="false" customHeight="false" outlineLevel="0" collapsed="false">
      <c r="A99" s="47" t="s">
        <v>276</v>
      </c>
      <c r="B99" s="44" t="s">
        <v>288</v>
      </c>
      <c r="C99" s="47" t="s">
        <v>289</v>
      </c>
      <c r="D99" s="45" t="n">
        <v>33</v>
      </c>
      <c r="E99" s="45" t="n">
        <v>3</v>
      </c>
      <c r="F99" s="44" t="s">
        <v>121</v>
      </c>
      <c r="G99" s="44" t="s">
        <v>89</v>
      </c>
      <c r="H99" s="44" t="s">
        <v>90</v>
      </c>
    </row>
    <row r="100" customFormat="false" ht="15" hidden="false" customHeight="false" outlineLevel="0" collapsed="false">
      <c r="A100" s="41" t="s">
        <v>276</v>
      </c>
      <c r="B100" s="40" t="s">
        <v>125</v>
      </c>
      <c r="C100" s="40" t="s">
        <v>290</v>
      </c>
      <c r="D100" s="42" t="n">
        <v>30</v>
      </c>
      <c r="E100" s="42" t="n">
        <v>11</v>
      </c>
      <c r="F100" s="40" t="s">
        <v>88</v>
      </c>
      <c r="G100" s="40" t="s">
        <v>94</v>
      </c>
      <c r="H100" s="40" t="s">
        <v>90</v>
      </c>
    </row>
    <row r="101" customFormat="false" ht="15" hidden="false" customHeight="false" outlineLevel="0" collapsed="false">
      <c r="A101" s="47" t="s">
        <v>276</v>
      </c>
      <c r="B101" s="44" t="s">
        <v>291</v>
      </c>
      <c r="C101" s="44" t="s">
        <v>292</v>
      </c>
      <c r="D101" s="45" t="n">
        <v>21</v>
      </c>
      <c r="E101" s="45" t="n">
        <v>3</v>
      </c>
      <c r="F101" s="44" t="s">
        <v>106</v>
      </c>
      <c r="G101" s="44" t="s">
        <v>89</v>
      </c>
      <c r="H101" s="44" t="s">
        <v>107</v>
      </c>
    </row>
    <row r="102" customFormat="false" ht="15" hidden="false" customHeight="false" outlineLevel="0" collapsed="false">
      <c r="A102" s="41" t="s">
        <v>293</v>
      </c>
      <c r="B102" s="40" t="s">
        <v>86</v>
      </c>
      <c r="C102" s="41" t="s">
        <v>87</v>
      </c>
      <c r="D102" s="42" t="n">
        <v>5900</v>
      </c>
      <c r="E102" s="42" t="n">
        <v>1490</v>
      </c>
      <c r="F102" s="40" t="s">
        <v>88</v>
      </c>
      <c r="G102" s="40" t="s">
        <v>89</v>
      </c>
      <c r="H102" s="40" t="s">
        <v>90</v>
      </c>
    </row>
    <row r="103" customFormat="false" ht="15" hidden="false" customHeight="false" outlineLevel="0" collapsed="false">
      <c r="A103" s="47" t="s">
        <v>293</v>
      </c>
      <c r="B103" s="44" t="s">
        <v>91</v>
      </c>
      <c r="C103" s="44" t="s">
        <v>92</v>
      </c>
      <c r="D103" s="45" t="n">
        <v>3000</v>
      </c>
      <c r="E103" s="45" t="n">
        <v>580</v>
      </c>
      <c r="F103" s="44" t="s">
        <v>93</v>
      </c>
      <c r="G103" s="44" t="s">
        <v>94</v>
      </c>
      <c r="H103" s="44" t="s">
        <v>90</v>
      </c>
    </row>
    <row r="104" customFormat="false" ht="15" hidden="false" customHeight="false" outlineLevel="0" collapsed="false">
      <c r="A104" s="41" t="s">
        <v>293</v>
      </c>
      <c r="B104" s="40" t="s">
        <v>95</v>
      </c>
      <c r="C104" s="41" t="s">
        <v>96</v>
      </c>
      <c r="D104" s="42" t="n">
        <v>3000</v>
      </c>
      <c r="E104" s="42" t="n">
        <v>585</v>
      </c>
      <c r="F104" s="40" t="s">
        <v>97</v>
      </c>
      <c r="G104" s="40" t="s">
        <v>98</v>
      </c>
      <c r="H104" s="40" t="s">
        <v>90</v>
      </c>
    </row>
    <row r="105" customFormat="false" ht="15" hidden="false" customHeight="false" outlineLevel="0" collapsed="false">
      <c r="A105" s="47" t="s">
        <v>293</v>
      </c>
      <c r="B105" s="44" t="s">
        <v>86</v>
      </c>
      <c r="C105" s="47" t="s">
        <v>99</v>
      </c>
      <c r="D105" s="45" t="n">
        <v>2580</v>
      </c>
      <c r="E105" s="45" t="n">
        <v>580</v>
      </c>
      <c r="F105" s="44" t="s">
        <v>88</v>
      </c>
      <c r="G105" s="44" t="s">
        <v>89</v>
      </c>
      <c r="H105" s="44" t="s">
        <v>90</v>
      </c>
    </row>
    <row r="106" customFormat="false" ht="15" hidden="false" customHeight="false" outlineLevel="0" collapsed="false">
      <c r="A106" s="41" t="s">
        <v>293</v>
      </c>
      <c r="B106" s="40" t="s">
        <v>95</v>
      </c>
      <c r="C106" s="41" t="s">
        <v>100</v>
      </c>
      <c r="D106" s="42" t="n">
        <v>1950</v>
      </c>
      <c r="E106" s="42" t="n">
        <v>947</v>
      </c>
      <c r="F106" s="40" t="s">
        <v>97</v>
      </c>
      <c r="G106" s="40" t="s">
        <v>98</v>
      </c>
      <c r="H106" s="40" t="s">
        <v>90</v>
      </c>
    </row>
    <row r="107" customFormat="false" ht="15" hidden="false" customHeight="false" outlineLevel="0" collapsed="false">
      <c r="A107" s="47" t="s">
        <v>293</v>
      </c>
      <c r="B107" s="47" t="s">
        <v>101</v>
      </c>
      <c r="C107" s="44" t="s">
        <v>102</v>
      </c>
      <c r="D107" s="45" t="n">
        <v>1475</v>
      </c>
      <c r="E107" s="45" t="n">
        <v>459</v>
      </c>
      <c r="F107" s="44" t="s">
        <v>93</v>
      </c>
      <c r="G107" s="44" t="s">
        <v>94</v>
      </c>
      <c r="H107" s="44" t="s">
        <v>90</v>
      </c>
    </row>
    <row r="108" customFormat="false" ht="15" hidden="false" customHeight="false" outlineLevel="0" collapsed="false">
      <c r="A108" s="41" t="s">
        <v>293</v>
      </c>
      <c r="B108" s="40" t="s">
        <v>95</v>
      </c>
      <c r="C108" s="40" t="s">
        <v>103</v>
      </c>
      <c r="D108" s="42" t="n">
        <v>1384</v>
      </c>
      <c r="E108" s="42" t="n">
        <v>416</v>
      </c>
      <c r="F108" s="40" t="s">
        <v>97</v>
      </c>
      <c r="G108" s="40" t="s">
        <v>94</v>
      </c>
      <c r="H108" s="40" t="s">
        <v>90</v>
      </c>
    </row>
    <row r="109" customFormat="false" ht="15" hidden="false" customHeight="false" outlineLevel="0" collapsed="false">
      <c r="A109" s="47" t="s">
        <v>293</v>
      </c>
      <c r="B109" s="44" t="s">
        <v>104</v>
      </c>
      <c r="C109" s="47" t="s">
        <v>105</v>
      </c>
      <c r="D109" s="45" t="n">
        <v>535</v>
      </c>
      <c r="E109" s="45" t="n">
        <v>125</v>
      </c>
      <c r="F109" s="44" t="s">
        <v>106</v>
      </c>
      <c r="G109" s="44" t="s">
        <v>89</v>
      </c>
      <c r="H109" s="44" t="s">
        <v>107</v>
      </c>
    </row>
    <row r="110" customFormat="false" ht="15" hidden="false" customHeight="false" outlineLevel="0" collapsed="false">
      <c r="A110" s="41" t="s">
        <v>293</v>
      </c>
      <c r="B110" s="40" t="s">
        <v>86</v>
      </c>
      <c r="C110" s="41" t="s">
        <v>108</v>
      </c>
      <c r="D110" s="42" t="n">
        <v>265</v>
      </c>
      <c r="E110" s="42" t="n">
        <v>65</v>
      </c>
      <c r="F110" s="40" t="s">
        <v>88</v>
      </c>
      <c r="G110" s="40" t="s">
        <v>109</v>
      </c>
      <c r="H110" s="40" t="s">
        <v>90</v>
      </c>
    </row>
    <row r="111" customFormat="false" ht="15" hidden="false" customHeight="false" outlineLevel="0" collapsed="false">
      <c r="A111" s="47" t="s">
        <v>293</v>
      </c>
      <c r="B111" s="44" t="s">
        <v>110</v>
      </c>
      <c r="C111" s="44" t="s">
        <v>111</v>
      </c>
      <c r="D111" s="45" t="n">
        <v>187</v>
      </c>
      <c r="E111" s="45" t="n">
        <v>187</v>
      </c>
      <c r="F111" s="44" t="s">
        <v>106</v>
      </c>
      <c r="G111" s="44" t="s">
        <v>39</v>
      </c>
      <c r="H111" s="47" t="s">
        <v>112</v>
      </c>
    </row>
    <row r="112" customFormat="false" ht="15" hidden="false" customHeight="false" outlineLevel="0" collapsed="false">
      <c r="A112" s="41" t="s">
        <v>293</v>
      </c>
      <c r="B112" s="40" t="s">
        <v>113</v>
      </c>
      <c r="C112" s="40" t="s">
        <v>114</v>
      </c>
      <c r="D112" s="42" t="n">
        <v>173</v>
      </c>
      <c r="E112" s="42" t="n">
        <v>31</v>
      </c>
      <c r="F112" s="40" t="s">
        <v>88</v>
      </c>
      <c r="G112" s="40" t="s">
        <v>94</v>
      </c>
      <c r="H112" s="40" t="s">
        <v>90</v>
      </c>
    </row>
    <row r="113" customFormat="false" ht="15" hidden="false" customHeight="false" outlineLevel="0" collapsed="false">
      <c r="A113" s="47" t="s">
        <v>293</v>
      </c>
      <c r="B113" s="44" t="s">
        <v>115</v>
      </c>
      <c r="C113" s="44" t="s">
        <v>116</v>
      </c>
      <c r="D113" s="45" t="n">
        <v>150</v>
      </c>
      <c r="E113" s="45" t="n">
        <v>72</v>
      </c>
      <c r="F113" s="44" t="s">
        <v>93</v>
      </c>
      <c r="G113" s="44" t="s">
        <v>94</v>
      </c>
      <c r="H113" s="44" t="s">
        <v>90</v>
      </c>
    </row>
    <row r="114" customFormat="false" ht="15" hidden="false" customHeight="false" outlineLevel="0" collapsed="false">
      <c r="A114" s="41" t="s">
        <v>293</v>
      </c>
      <c r="B114" s="40" t="s">
        <v>117</v>
      </c>
      <c r="C114" s="40" t="s">
        <v>118</v>
      </c>
      <c r="D114" s="42" t="n">
        <v>149</v>
      </c>
      <c r="E114" s="42" t="n">
        <v>56</v>
      </c>
      <c r="F114" s="40" t="s">
        <v>93</v>
      </c>
      <c r="G114" s="40" t="s">
        <v>94</v>
      </c>
      <c r="H114" s="40" t="s">
        <v>90</v>
      </c>
    </row>
    <row r="115" customFormat="false" ht="15" hidden="false" customHeight="false" outlineLevel="0" collapsed="false">
      <c r="A115" s="47" t="s">
        <v>293</v>
      </c>
      <c r="B115" s="44" t="s">
        <v>119</v>
      </c>
      <c r="C115" s="44" t="s">
        <v>120</v>
      </c>
      <c r="D115" s="45" t="n">
        <v>70</v>
      </c>
      <c r="E115" s="45" t="n">
        <v>11</v>
      </c>
      <c r="F115" s="44" t="s">
        <v>121</v>
      </c>
      <c r="G115" s="44" t="s">
        <v>89</v>
      </c>
      <c r="H115" s="44" t="s">
        <v>90</v>
      </c>
    </row>
    <row r="116" customFormat="false" ht="15" hidden="false" customHeight="false" outlineLevel="0" collapsed="false">
      <c r="A116" s="41" t="s">
        <v>293</v>
      </c>
      <c r="B116" s="40" t="s">
        <v>119</v>
      </c>
      <c r="C116" s="40" t="s">
        <v>122</v>
      </c>
      <c r="D116" s="42" t="n">
        <v>62</v>
      </c>
      <c r="E116" s="42" t="n">
        <v>29</v>
      </c>
      <c r="F116" s="40" t="s">
        <v>121</v>
      </c>
      <c r="G116" s="40" t="s">
        <v>109</v>
      </c>
      <c r="H116" s="40" t="s">
        <v>90</v>
      </c>
    </row>
    <row r="117" customFormat="false" ht="15" hidden="false" customHeight="false" outlineLevel="0" collapsed="false">
      <c r="A117" s="47" t="s">
        <v>293</v>
      </c>
      <c r="B117" s="44" t="s">
        <v>123</v>
      </c>
      <c r="C117" s="44" t="s">
        <v>124</v>
      </c>
      <c r="D117" s="45" t="n">
        <v>62</v>
      </c>
      <c r="E117" s="45" t="n">
        <v>7</v>
      </c>
      <c r="F117" s="44" t="s">
        <v>106</v>
      </c>
      <c r="G117" s="44" t="s">
        <v>94</v>
      </c>
      <c r="H117" s="44" t="s">
        <v>90</v>
      </c>
    </row>
    <row r="118" customFormat="false" ht="15" hidden="false" customHeight="false" outlineLevel="0" collapsed="false">
      <c r="A118" s="41" t="s">
        <v>293</v>
      </c>
      <c r="B118" s="40" t="s">
        <v>125</v>
      </c>
      <c r="C118" s="40" t="s">
        <v>126</v>
      </c>
      <c r="D118" s="42" t="n">
        <v>50</v>
      </c>
      <c r="E118" s="42" t="n">
        <v>19</v>
      </c>
      <c r="F118" s="40" t="s">
        <v>88</v>
      </c>
      <c r="G118" s="40" t="s">
        <v>94</v>
      </c>
      <c r="H118" s="40" t="s">
        <v>90</v>
      </c>
    </row>
    <row r="119" customFormat="false" ht="15" hidden="false" customHeight="false" outlineLevel="0" collapsed="false">
      <c r="A119" s="47" t="s">
        <v>293</v>
      </c>
      <c r="B119" s="44" t="s">
        <v>86</v>
      </c>
      <c r="C119" s="44" t="s">
        <v>127</v>
      </c>
      <c r="D119" s="45" t="n">
        <v>38</v>
      </c>
      <c r="E119" s="45" t="n">
        <v>8</v>
      </c>
      <c r="F119" s="44" t="s">
        <v>88</v>
      </c>
      <c r="G119" s="44" t="s">
        <v>128</v>
      </c>
      <c r="H119" s="44" t="s">
        <v>90</v>
      </c>
    </row>
    <row r="120" customFormat="false" ht="15" hidden="false" customHeight="false" outlineLevel="0" collapsed="false">
      <c r="A120" s="41" t="s">
        <v>293</v>
      </c>
      <c r="B120" s="40" t="s">
        <v>129</v>
      </c>
      <c r="C120" s="40" t="s">
        <v>130</v>
      </c>
      <c r="D120" s="42" t="n">
        <v>12</v>
      </c>
      <c r="E120" s="42" t="n">
        <v>0</v>
      </c>
      <c r="F120" s="40" t="s">
        <v>131</v>
      </c>
      <c r="G120" s="40" t="s">
        <v>132</v>
      </c>
      <c r="H120" s="40" t="s">
        <v>90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48" t="s">
        <v>294</v>
      </c>
    </row>
    <row r="2" customFormat="false" ht="15" hidden="false" customHeight="false" outlineLevel="0" collapsed="false">
      <c r="A2" s="38" t="s">
        <v>295</v>
      </c>
    </row>
    <row r="4" customFormat="false" ht="15" hidden="false" customHeight="false" outlineLevel="0" collapsed="false">
      <c r="A4" s="51" t="s">
        <v>135</v>
      </c>
      <c r="B4" s="51" t="s">
        <v>82</v>
      </c>
      <c r="C4" s="51" t="s">
        <v>15</v>
      </c>
    </row>
    <row r="5" customFormat="false" ht="15" hidden="false" customHeight="false" outlineLevel="0" collapsed="false">
      <c r="A5" s="41" t="s">
        <v>136</v>
      </c>
      <c r="B5" s="42" t="n">
        <f aca="false">月別推移!C4</f>
        <v>13688</v>
      </c>
      <c r="C5" s="42" t="n">
        <f aca="false">月別推移!D4</f>
        <v>1820</v>
      </c>
    </row>
    <row r="6" customFormat="false" ht="15" hidden="false" customHeight="false" outlineLevel="0" collapsed="false">
      <c r="A6" s="41" t="s">
        <v>137</v>
      </c>
      <c r="B6" s="42" t="n">
        <f aca="false">月別推移!C5</f>
        <v>29952</v>
      </c>
      <c r="C6" s="42" t="n">
        <f aca="false">月別推移!D5</f>
        <v>21720</v>
      </c>
    </row>
    <row r="7" customFormat="false" ht="15" hidden="false" customHeight="false" outlineLevel="0" collapsed="false">
      <c r="A7" s="41" t="s">
        <v>138</v>
      </c>
      <c r="B7" s="42" t="n">
        <f aca="false">月別推移!C6</f>
        <v>21170</v>
      </c>
      <c r="C7" s="42" t="n">
        <f aca="false">月別推移!D6</f>
        <v>3886</v>
      </c>
    </row>
    <row r="8" customFormat="false" ht="15" hidden="false" customHeight="false" outlineLevel="0" collapsed="false">
      <c r="A8" s="41" t="s">
        <v>139</v>
      </c>
      <c r="B8" s="42" t="n">
        <f aca="false">月別推移!C7</f>
        <v>15124</v>
      </c>
      <c r="C8" s="42" t="n">
        <f aca="false">月別推移!D7</f>
        <v>8183</v>
      </c>
    </row>
    <row r="9" customFormat="false" ht="15" hidden="false" customHeight="false" outlineLevel="0" collapsed="false">
      <c r="A9" s="41" t="s">
        <v>140</v>
      </c>
      <c r="B9" s="42" t="n">
        <f aca="false">月別推移!C8</f>
        <v>4265</v>
      </c>
      <c r="C9" s="42" t="n">
        <f aca="false">月別推移!D8</f>
        <v>2303</v>
      </c>
    </row>
    <row r="10" customFormat="false" ht="15" hidden="false" customHeight="false" outlineLevel="0" collapsed="false">
      <c r="A10" s="41" t="s">
        <v>141</v>
      </c>
      <c r="B10" s="42" t="n">
        <f aca="false">月別推移!C9</f>
        <v>21044</v>
      </c>
      <c r="C10" s="42" t="n">
        <f aca="false">月別推移!D9</f>
        <v>5665</v>
      </c>
    </row>
    <row r="12" customFormat="false" ht="15" hidden="false" customHeight="false" outlineLevel="0" collapsed="false">
      <c r="A12" s="52" t="s">
        <v>296</v>
      </c>
    </row>
    <row r="13" customFormat="false" ht="15" hidden="false" customHeight="false" outlineLevel="0" collapsed="false">
      <c r="A13" s="40" t="s">
        <v>88</v>
      </c>
      <c r="B13" s="42" t="n">
        <f aca="false">SUMIF('9月 実績明細'!$F$4:$F$22,"片岡 雅貴",'9月 実績明細'!$C$4:$C$22)</f>
        <v>9006</v>
      </c>
    </row>
    <row r="14" customFormat="false" ht="15" hidden="false" customHeight="false" outlineLevel="0" collapsed="false">
      <c r="A14" s="40" t="s">
        <v>97</v>
      </c>
      <c r="B14" s="42" t="n">
        <f aca="false">SUMIF('9月 実績明細'!$F$4:$F$22,"安達 芳樹",'9月 実績明細'!$C$4:$C$22)</f>
        <v>6334</v>
      </c>
    </row>
    <row r="15" customFormat="false" ht="15" hidden="false" customHeight="false" outlineLevel="0" collapsed="false">
      <c r="A15" s="40" t="s">
        <v>93</v>
      </c>
      <c r="B15" s="42" t="n">
        <f aca="false">SUMIF('9月 実績明細'!$F$4:$F$22,"落合 あゆみ",'9月 実績明細'!$C$4:$C$22)</f>
        <v>4774</v>
      </c>
    </row>
    <row r="16" customFormat="false" ht="15" hidden="false" customHeight="false" outlineLevel="0" collapsed="false">
      <c r="A16" s="40" t="s">
        <v>297</v>
      </c>
      <c r="B16" s="42" t="n">
        <f aca="false">SUM('9月 実績明細'!$C$4:$C$22)-SUM(B13:B15)</f>
        <v>928</v>
      </c>
    </row>
    <row r="18" customFormat="false" ht="15" hidden="false" customHeight="false" outlineLevel="0" collapsed="false">
      <c r="A18" s="52" t="s">
        <v>298</v>
      </c>
    </row>
    <row r="19" customFormat="false" ht="15" hidden="false" customHeight="false" outlineLevel="0" collapsed="false">
      <c r="A19" s="40" t="s">
        <v>89</v>
      </c>
      <c r="B19" s="42" t="n">
        <f aca="false">SUMIF('9月 実績明細'!$G$4:$G$22,"当社/営業G(リピート)",'9月 実績明細'!$C$4:$C$22)</f>
        <v>9085</v>
      </c>
    </row>
    <row r="20" customFormat="false" ht="15" hidden="false" customHeight="false" outlineLevel="0" collapsed="false">
      <c r="A20" s="40" t="s">
        <v>94</v>
      </c>
      <c r="B20" s="42" t="n">
        <f aca="false">SUMIF('9月 実績明細'!$G$4:$G$22,"顧客/取引先リピート",'9月 実績明細'!$C$4:$C$22)</f>
        <v>6443</v>
      </c>
    </row>
    <row r="21" customFormat="false" ht="15" hidden="false" customHeight="false" outlineLevel="0" collapsed="false">
      <c r="A21" s="40" t="s">
        <v>98</v>
      </c>
      <c r="B21" s="42" t="n">
        <f aca="false">SUMIF('9月 実績明細'!$G$4:$G$22,"当社/商談前営業",'9月 実績明細'!$C$4:$C$22)</f>
        <v>4950</v>
      </c>
    </row>
    <row r="22" customFormat="false" ht="15" hidden="false" customHeight="false" outlineLevel="0" collapsed="false">
      <c r="A22" s="40" t="s">
        <v>299</v>
      </c>
      <c r="B22" s="42" t="n">
        <f aca="false">SUM('9月 実績明細'!$C$4:$C$22)-SUM(B19:B21)</f>
        <v>564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48" t="s">
        <v>300</v>
      </c>
    </row>
    <row r="3" customFormat="false" ht="15" hidden="false" customHeight="false" outlineLevel="0" collapsed="false">
      <c r="A3" s="53" t="s">
        <v>301</v>
      </c>
      <c r="B3" s="54"/>
    </row>
    <row r="4" customFormat="false" ht="15" hidden="false" customHeight="false" outlineLevel="0" collapsed="false">
      <c r="A4" s="55" t="s">
        <v>302</v>
      </c>
      <c r="B4" s="56" t="s">
        <v>303</v>
      </c>
    </row>
    <row r="5" customFormat="false" ht="15" hidden="false" customHeight="false" outlineLevel="0" collapsed="false">
      <c r="A5" s="55" t="s">
        <v>304</v>
      </c>
      <c r="B5" s="54" t="s">
        <v>305</v>
      </c>
    </row>
    <row r="6" customFormat="false" ht="15" hidden="false" customHeight="false" outlineLevel="0" collapsed="false">
      <c r="A6" s="55" t="s">
        <v>13</v>
      </c>
      <c r="B6" s="54" t="s">
        <v>306</v>
      </c>
    </row>
    <row r="7" customFormat="false" ht="15" hidden="false" customHeight="false" outlineLevel="0" collapsed="false">
      <c r="A7" s="55" t="s">
        <v>307</v>
      </c>
      <c r="B7" s="56" t="s">
        <v>308</v>
      </c>
    </row>
    <row r="8" customFormat="false" ht="15" hidden="false" customHeight="false" outlineLevel="0" collapsed="false">
      <c r="A8" s="55" t="s">
        <v>85</v>
      </c>
      <c r="B8" s="56" t="s">
        <v>309</v>
      </c>
    </row>
    <row r="9" customFormat="false" ht="15" hidden="false" customHeight="false" outlineLevel="0" collapsed="false">
      <c r="A9" s="55" t="s">
        <v>310</v>
      </c>
      <c r="B9" s="56" t="s">
        <v>311</v>
      </c>
    </row>
    <row r="10" customFormat="false" ht="15" hidden="false" customHeight="false" outlineLevel="0" collapsed="false">
      <c r="A10" s="57"/>
      <c r="B10" s="56"/>
    </row>
    <row r="11" customFormat="false" ht="15" hidden="false" customHeight="false" outlineLevel="0" collapsed="false">
      <c r="A11" s="53" t="s">
        <v>312</v>
      </c>
      <c r="B11" s="56"/>
    </row>
    <row r="12" customFormat="false" ht="14.15" hidden="false" customHeight="false" outlineLevel="0" collapsed="false">
      <c r="A12" s="58" t="s">
        <v>313</v>
      </c>
      <c r="B12" s="56" t="s">
        <v>314</v>
      </c>
    </row>
    <row r="13" customFormat="false" ht="14.15" hidden="false" customHeight="false" outlineLevel="0" collapsed="false">
      <c r="A13" s="58" t="s">
        <v>315</v>
      </c>
      <c r="B13" s="56" t="s">
        <v>316</v>
      </c>
    </row>
    <row r="14" customFormat="false" ht="14.15" hidden="false" customHeight="false" outlineLevel="0" collapsed="false">
      <c r="A14" s="58" t="s">
        <v>317</v>
      </c>
      <c r="B14" s="54" t="s">
        <v>318</v>
      </c>
    </row>
    <row r="15" customFormat="false" ht="15" hidden="false" customHeight="false" outlineLevel="0" collapsed="false">
      <c r="A15" s="57"/>
      <c r="B15" s="56"/>
    </row>
    <row r="16" customFormat="false" ht="15" hidden="false" customHeight="false" outlineLevel="0" collapsed="false">
      <c r="A16" s="53" t="s">
        <v>319</v>
      </c>
      <c r="B16" s="56"/>
    </row>
    <row r="17" customFormat="false" ht="15" hidden="false" customHeight="false" outlineLevel="0" collapsed="false">
      <c r="A17" s="55" t="s">
        <v>320</v>
      </c>
      <c r="B17" s="56" t="s">
        <v>321</v>
      </c>
    </row>
    <row r="18" customFormat="false" ht="15" hidden="false" customHeight="false" outlineLevel="0" collapsed="false">
      <c r="A18" s="55" t="s">
        <v>322</v>
      </c>
      <c r="B18" s="56" t="s">
        <v>323</v>
      </c>
    </row>
    <row r="19" customFormat="false" ht="15" hidden="false" customHeight="false" outlineLevel="0" collapsed="false">
      <c r="A19" s="55" t="s">
        <v>324</v>
      </c>
      <c r="B19" s="54" t="s">
        <v>325</v>
      </c>
    </row>
    <row r="20" customFormat="false" ht="15" hidden="false" customHeight="false" outlineLevel="0" collapsed="false">
      <c r="A20" s="57"/>
      <c r="B20" s="56"/>
    </row>
    <row r="21" customFormat="false" ht="15" hidden="false" customHeight="false" outlineLevel="0" collapsed="false">
      <c r="A21" s="53" t="s">
        <v>326</v>
      </c>
      <c r="B21" s="56"/>
    </row>
    <row r="22" customFormat="false" ht="15" hidden="false" customHeight="false" outlineLevel="0" collapsed="false">
      <c r="A22" s="55" t="s">
        <v>16</v>
      </c>
      <c r="B22" s="54" t="s">
        <v>327</v>
      </c>
    </row>
    <row r="23" customFormat="false" ht="15" hidden="false" customHeight="false" outlineLevel="0" collapsed="false">
      <c r="A23" s="55" t="s">
        <v>328</v>
      </c>
      <c r="B23" s="54" t="s">
        <v>329</v>
      </c>
    </row>
    <row r="24" customFormat="false" ht="15" hidden="false" customHeight="false" outlineLevel="0" collapsed="false">
      <c r="A24" s="55" t="s">
        <v>330</v>
      </c>
      <c r="B24" s="56" t="s">
        <v>331</v>
      </c>
    </row>
    <row r="25" customFormat="false" ht="15" hidden="false" customHeight="false" outlineLevel="0" collapsed="false">
      <c r="A25" s="55" t="s">
        <v>332</v>
      </c>
      <c r="B25" s="56" t="s">
        <v>333</v>
      </c>
    </row>
    <row r="26" customFormat="false" ht="15" hidden="false" customHeight="false" outlineLevel="0" collapsed="false">
      <c r="A26" s="55" t="s">
        <v>334</v>
      </c>
      <c r="B26" s="56" t="s">
        <v>335</v>
      </c>
    </row>
    <row r="27" customFormat="false" ht="15" hidden="false" customHeight="false" outlineLevel="0" collapsed="false">
      <c r="A27" s="55" t="s">
        <v>336</v>
      </c>
      <c r="B27" s="56" t="s">
        <v>337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2026-10-06T10:44:18Z</dcterms:created>
  <dc:creator>openpyxl</dc:creator>
  <dc:description/>
  <dc:language>en-US</dc:language>
  <cp:lastModifiedBy/>
  <dcterms:modified xsi:type="dcterms:W3CDTF">2026-10-06T10:44:22Z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