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前提" sheetId="1" state="visible" r:id="rId3"/>
    <sheet name="下期サマリ" sheetId="2" state="visible" r:id="rId4"/>
    <sheet name="月次" sheetId="3" state="visible" r:id="rId5"/>
    <sheet name="未入力シナリオ" sheetId="4" state="visible" r:id="rId6"/>
    <sheet name="算出方法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<sst xmlns="http://schemas.openxmlformats.org/spreadsheetml/2006/main" count="172" uniqueCount="147">
  <si>
    <t xml:space="preserve">森未来 営業部｜下期 数字管理</t>
  </si>
  <si>
    <t xml:space="preserve">スコープ</t>
  </si>
  <si>
    <r>
      <rPr>
        <sz val="10"/>
        <rFont val="WenQuanYi Zen Hei"/>
        <family val="2"/>
      </rPr>
      <t xml:space="preserve">木材コーディネート＋</t>
    </r>
    <r>
      <rPr>
        <sz val="10"/>
        <rFont val="Meiryo"/>
        <family val="0"/>
        <charset val="1"/>
      </rPr>
      <t xml:space="preserve">TREEBATON</t>
    </r>
    <r>
      <rPr>
        <sz val="10"/>
        <rFont val="WenQuanYi Zen Hei"/>
        <family val="2"/>
      </rPr>
      <t xml:space="preserve">／フェーズ</t>
    </r>
    <r>
      <rPr>
        <sz val="10"/>
        <rFont val="Meiryo"/>
        <family val="0"/>
        <charset val="1"/>
      </rPr>
      <t xml:space="preserve">00_</t>
    </r>
    <r>
      <rPr>
        <sz val="10"/>
        <rFont val="WenQuanYi Zen Hei"/>
        <family val="2"/>
      </rPr>
      <t xml:space="preserve">失注を除外／</t>
    </r>
    <r>
      <rPr>
        <sz val="10"/>
        <rFont val="Meiryo"/>
        <family val="0"/>
        <charset val="1"/>
      </rPr>
      <t xml:space="preserve">OEM</t>
    </r>
    <r>
      <rPr>
        <sz val="10"/>
        <rFont val="WenQuanYi Zen Hei"/>
        <family val="2"/>
      </rPr>
      <t xml:space="preserve">・建築は含まない</t>
    </r>
  </si>
  <si>
    <t xml:space="preserve">データ基準日</t>
  </si>
  <si>
    <r>
      <rPr>
        <sz val="10"/>
        <rFont val="Meiryo"/>
        <family val="0"/>
        <charset val="1"/>
      </rPr>
      <t xml:space="preserve">2026/10/05 SF</t>
    </r>
    <r>
      <rPr>
        <sz val="10"/>
        <rFont val="WenQuanYi Zen Hei"/>
        <family val="2"/>
      </rPr>
      <t xml:space="preserve">出力</t>
    </r>
  </si>
  <si>
    <t xml:space="preserve">出典</t>
  </si>
  <si>
    <r>
      <rPr>
        <sz val="10"/>
        <rFont val="WenQuanYi Zen Hei"/>
        <family val="2"/>
      </rPr>
      <t xml:space="preserve">★コーデ</t>
    </r>
    <r>
      <rPr>
        <sz val="10"/>
        <rFont val="Meiryo"/>
        <family val="0"/>
        <charset val="1"/>
      </rPr>
      <t xml:space="preserve">TB_</t>
    </r>
    <r>
      <rPr>
        <sz val="10"/>
        <rFont val="WenQuanYi Zen Hei"/>
        <family val="2"/>
      </rPr>
      <t xml:space="preserve">総商談</t>
    </r>
    <r>
      <rPr>
        <sz val="10"/>
        <rFont val="Meiryo"/>
        <family val="0"/>
        <charset val="1"/>
      </rPr>
      <t xml:space="preserve">_</t>
    </r>
    <r>
      <rPr>
        <sz val="10"/>
        <rFont val="WenQuanYi Zen Hei"/>
        <family val="2"/>
      </rPr>
      <t xml:space="preserve">通期</t>
    </r>
    <r>
      <rPr>
        <sz val="10"/>
        <rFont val="Meiryo"/>
        <family val="0"/>
        <charset val="1"/>
      </rPr>
      <t xml:space="preserve">_26</t>
    </r>
    <r>
      <rPr>
        <sz val="10"/>
        <rFont val="WenQuanYi Zen Hei"/>
        <family val="2"/>
      </rPr>
      <t xml:space="preserve">年度（</t>
    </r>
    <r>
      <rPr>
        <sz val="10"/>
        <rFont val="Meiryo"/>
        <family val="0"/>
        <charset val="1"/>
      </rPr>
      <t xml:space="preserve">235</t>
    </r>
    <r>
      <rPr>
        <sz val="10"/>
        <rFont val="WenQuanYi Zen Hei"/>
        <family val="2"/>
      </rPr>
      <t xml:space="preserve">件）／★コーデ</t>
    </r>
    <r>
      <rPr>
        <sz val="10"/>
        <rFont val="Meiryo"/>
        <family val="0"/>
        <charset val="1"/>
      </rPr>
      <t xml:space="preserve">TB_AB_</t>
    </r>
    <r>
      <rPr>
        <sz val="10"/>
        <rFont val="WenQuanYi Zen Hei"/>
        <family val="2"/>
      </rPr>
      <t xml:space="preserve">下期</t>
    </r>
    <r>
      <rPr>
        <sz val="10"/>
        <rFont val="Meiryo"/>
        <family val="0"/>
        <charset val="1"/>
      </rPr>
      <t xml:space="preserve">_26</t>
    </r>
    <r>
      <rPr>
        <sz val="10"/>
        <rFont val="WenQuanYi Zen Hei"/>
        <family val="2"/>
      </rPr>
      <t xml:space="preserve">年度（</t>
    </r>
    <r>
      <rPr>
        <sz val="10"/>
        <rFont val="Meiryo"/>
        <family val="0"/>
        <charset val="1"/>
      </rPr>
      <t xml:space="preserve">20</t>
    </r>
    <r>
      <rPr>
        <sz val="10"/>
        <rFont val="WenQuanYi Zen Hei"/>
        <family val="2"/>
      </rPr>
      <t xml:space="preserve">件）</t>
    </r>
  </si>
  <si>
    <t xml:space="preserve">■ 入力値（ここだけ更新すれば全シートが再計算されます）</t>
  </si>
  <si>
    <t xml:space="preserve">下期予算（千円）</t>
  </si>
  <si>
    <r>
      <rPr>
        <sz val="9"/>
        <color rgb="FF767676"/>
        <rFont val="Meiryo"/>
        <family val="0"/>
        <charset val="1"/>
      </rPr>
      <t xml:space="preserve">※ 9/11</t>
    </r>
    <r>
      <rPr>
        <sz val="9"/>
        <color rgb="FF767676"/>
        <rFont val="WenQuanYi Zen Hei"/>
        <family val="2"/>
      </rPr>
      <t xml:space="preserve">時点で使用した値。</t>
    </r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の正式な下期予算と一致するか要確認</t>
    </r>
  </si>
  <si>
    <t xml:space="preserve">下期の月数</t>
  </si>
  <si>
    <r>
      <rPr>
        <sz val="9"/>
        <color rgb="FF767676"/>
        <rFont val="Meiryo"/>
        <family val="0"/>
        <charset val="1"/>
      </rPr>
      <t xml:space="preserve">※ 10</t>
    </r>
    <r>
      <rPr>
        <sz val="9"/>
        <color rgb="FF767676"/>
        <rFont val="WenQuanYi Zen Hei"/>
        <family val="2"/>
      </rPr>
      <t xml:space="preserve">月〜</t>
    </r>
    <r>
      <rPr>
        <sz val="9"/>
        <color rgb="FF767676"/>
        <rFont val="Meiryo"/>
        <family val="0"/>
        <charset val="1"/>
      </rPr>
      <t xml:space="preserve">3</t>
    </r>
    <r>
      <rPr>
        <sz val="9"/>
        <color rgb="FF767676"/>
        <rFont val="WenQuanYi Zen Hei"/>
        <family val="2"/>
      </rPr>
      <t xml:space="preserve">月</t>
    </r>
  </si>
  <si>
    <r>
      <rPr>
        <b val="true"/>
        <sz val="10"/>
        <rFont val="Meiryo"/>
        <family val="0"/>
        <charset val="1"/>
      </rPr>
      <t xml:space="preserve">CD</t>
    </r>
    <r>
      <rPr>
        <b val="true"/>
        <sz val="10"/>
        <rFont val="WenQuanYi Zen Hei"/>
        <family val="2"/>
      </rPr>
      <t xml:space="preserve">玉の想定転換率</t>
    </r>
  </si>
  <si>
    <r>
      <rPr>
        <sz val="9"/>
        <color rgb="FF767676"/>
        <rFont val="WenQuanYi Zen Hei"/>
        <family val="2"/>
      </rPr>
      <t xml:space="preserve">※ 直近</t>
    </r>
    <r>
      <rPr>
        <sz val="9"/>
        <color rgb="FF767676"/>
        <rFont val="Meiryo"/>
        <family val="0"/>
        <charset val="1"/>
      </rPr>
      <t xml:space="preserve">2</t>
    </r>
    <r>
      <rPr>
        <sz val="9"/>
        <color rgb="FF767676"/>
        <rFont val="WenQuanYi Zen Hei"/>
        <family val="2"/>
      </rPr>
      <t xml:space="preserve">年</t>
    </r>
    <r>
      <rPr>
        <sz val="9"/>
        <color rgb="FF767676"/>
        <rFont val="Meiryo"/>
        <family val="0"/>
        <charset val="1"/>
      </rPr>
      <t xml:space="preserve">593</t>
    </r>
    <r>
      <rPr>
        <sz val="9"/>
        <color rgb="FF767676"/>
        <rFont val="WenQuanYi Zen Hei"/>
        <family val="2"/>
      </rPr>
      <t xml:space="preserve">件の実測成約率（成約件数 </t>
    </r>
    <r>
      <rPr>
        <sz val="9"/>
        <color rgb="FF767676"/>
        <rFont val="Meiryo"/>
        <family val="0"/>
        <charset val="1"/>
      </rPr>
      <t xml:space="preserve">÷ </t>
    </r>
    <r>
      <rPr>
        <sz val="9"/>
        <color rgb="FF767676"/>
        <rFont val="WenQuanYi Zen Hei"/>
        <family val="2"/>
      </rPr>
      <t xml:space="preserve">総商談件数）</t>
    </r>
  </si>
  <si>
    <r>
      <rPr>
        <b val="true"/>
        <sz val="10"/>
        <rFont val="Meiryo"/>
        <family val="0"/>
        <charset val="1"/>
      </rPr>
      <t xml:space="preserve">CD</t>
    </r>
    <r>
      <rPr>
        <b val="true"/>
        <sz val="10"/>
        <rFont val="WenQuanYi Zen Hei"/>
        <family val="2"/>
      </rPr>
      <t xml:space="preserve">玉 金額未入力 件数</t>
    </r>
  </si>
  <si>
    <r>
      <rPr>
        <sz val="9"/>
        <color rgb="FF767676"/>
        <rFont val="WenQuanYi Zen Hei"/>
        <family val="2"/>
      </rPr>
      <t xml:space="preserve">※ 下期</t>
    </r>
    <r>
      <rPr>
        <sz val="9"/>
        <color rgb="FF767676"/>
        <rFont val="Meiryo"/>
        <family val="0"/>
        <charset val="1"/>
      </rPr>
      <t xml:space="preserve">CD</t>
    </r>
    <r>
      <rPr>
        <sz val="9"/>
        <color rgb="FF767676"/>
        <rFont val="WenQuanYi Zen Hei"/>
        <family val="2"/>
      </rPr>
      <t xml:space="preserve">玉</t>
    </r>
    <r>
      <rPr>
        <sz val="9"/>
        <color rgb="FF767676"/>
        <rFont val="Meiryo"/>
        <family val="0"/>
        <charset val="1"/>
      </rPr>
      <t xml:space="preserve">113</t>
    </r>
    <r>
      <rPr>
        <sz val="9"/>
        <color rgb="FF767676"/>
        <rFont val="WenQuanYi Zen Hei"/>
        <family val="2"/>
      </rPr>
      <t xml:space="preserve">件のうち金額が空欄のもの</t>
    </r>
  </si>
  <si>
    <r>
      <rPr>
        <b val="true"/>
        <sz val="10"/>
        <rFont val="WenQuanYi Zen Hei"/>
        <family val="2"/>
      </rPr>
      <t xml:space="preserve">入力済</t>
    </r>
    <r>
      <rPr>
        <b val="true"/>
        <sz val="10"/>
        <rFont val="Meiryo"/>
        <family val="0"/>
        <charset val="1"/>
      </rPr>
      <t xml:space="preserve">CD</t>
    </r>
    <r>
      <rPr>
        <b val="true"/>
        <sz val="10"/>
        <rFont val="WenQuanYi Zen Hei"/>
        <family val="2"/>
      </rPr>
      <t xml:space="preserve">玉の中央値（千円）</t>
    </r>
  </si>
  <si>
    <r>
      <rPr>
        <sz val="9"/>
        <color rgb="FF767676"/>
        <rFont val="WenQuanYi Zen Hei"/>
        <family val="2"/>
      </rPr>
      <t xml:space="preserve">※ 金額が入っている</t>
    </r>
    <r>
      <rPr>
        <sz val="9"/>
        <color rgb="FF767676"/>
        <rFont val="Meiryo"/>
        <family val="0"/>
        <charset val="1"/>
      </rPr>
      <t xml:space="preserve">79</t>
    </r>
    <r>
      <rPr>
        <sz val="9"/>
        <color rgb="FF767676"/>
        <rFont val="WenQuanYi Zen Hei"/>
        <family val="2"/>
      </rPr>
      <t xml:space="preserve">件の中央値</t>
    </r>
  </si>
  <si>
    <r>
      <rPr>
        <b val="true"/>
        <sz val="10"/>
        <rFont val="WenQuanYi Zen Hei"/>
        <family val="2"/>
      </rPr>
      <t xml:space="preserve">入力済</t>
    </r>
    <r>
      <rPr>
        <b val="true"/>
        <sz val="10"/>
        <rFont val="Meiryo"/>
        <family val="0"/>
        <charset val="1"/>
      </rPr>
      <t xml:space="preserve">CD</t>
    </r>
    <r>
      <rPr>
        <b val="true"/>
        <sz val="10"/>
        <rFont val="WenQuanYi Zen Hei"/>
        <family val="2"/>
      </rPr>
      <t xml:space="preserve">玉の平均（千円）</t>
    </r>
  </si>
  <si>
    <r>
      <rPr>
        <sz val="9"/>
        <color rgb="FF767676"/>
        <rFont val="WenQuanYi Zen Hei"/>
        <family val="2"/>
      </rPr>
      <t xml:space="preserve">※ 金額が入っている</t>
    </r>
    <r>
      <rPr>
        <sz val="9"/>
        <color rgb="FF767676"/>
        <rFont val="Meiryo"/>
        <family val="0"/>
        <charset val="1"/>
      </rPr>
      <t xml:space="preserve">79</t>
    </r>
    <r>
      <rPr>
        <sz val="9"/>
        <color rgb="FF767676"/>
        <rFont val="WenQuanYi Zen Hei"/>
        <family val="2"/>
      </rPr>
      <t xml:space="preserve">件の平均</t>
    </r>
  </si>
  <si>
    <t xml:space="preserve">月予算（千円）</t>
  </si>
  <si>
    <r>
      <rPr>
        <sz val="9"/>
        <color rgb="FF767676"/>
        <rFont val="WenQuanYi Zen Hei"/>
        <family val="2"/>
      </rPr>
      <t xml:space="preserve">＝ 下期予算 </t>
    </r>
    <r>
      <rPr>
        <sz val="9"/>
        <color rgb="FF767676"/>
        <rFont val="Meiryo"/>
        <family val="0"/>
        <charset val="1"/>
      </rPr>
      <t xml:space="preserve">÷ </t>
    </r>
    <r>
      <rPr>
        <sz val="9"/>
        <color rgb="FF767676"/>
        <rFont val="WenQuanYi Zen Hei"/>
        <family val="2"/>
      </rPr>
      <t xml:space="preserve">月数（均等割）。実際の月次配分があれば月次シートで直接上書きしてください</t>
    </r>
  </si>
  <si>
    <t xml:space="preserve">■ 凡例</t>
  </si>
  <si>
    <t xml:space="preserve">青字</t>
  </si>
  <si>
    <r>
      <rPr>
        <sz val="9"/>
        <color rgb="FF767676"/>
        <rFont val="WenQuanYi Zen Hei"/>
        <family val="2"/>
      </rPr>
      <t xml:space="preserve">手入力。</t>
    </r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レポートから転記する数字</t>
    </r>
  </si>
  <si>
    <t xml:space="preserve">黒字</t>
  </si>
  <si>
    <t xml:space="preserve">数式。触らない</t>
  </si>
  <si>
    <t xml:space="preserve">緑字</t>
  </si>
  <si>
    <t xml:space="preserve">他シートからの参照。触らない</t>
  </si>
  <si>
    <t xml:space="preserve">黄色塗り</t>
  </si>
  <si>
    <t xml:space="preserve">重要な前提。変わると全体が動く</t>
  </si>
  <si>
    <t xml:space="preserve">下期サマリ　単位：千円</t>
  </si>
  <si>
    <t xml:space="preserve">数字は月次シートから自動集計されます。</t>
  </si>
  <si>
    <r>
      <rPr>
        <b val="true"/>
        <sz val="10"/>
        <rFont val="Meiryo"/>
        <family val="0"/>
        <charset val="1"/>
      </rPr>
      <t xml:space="preserve">■ A. </t>
    </r>
    <r>
      <rPr>
        <b val="true"/>
        <sz val="10"/>
        <rFont val="WenQuanYi Zen Hei"/>
        <family val="2"/>
      </rPr>
      <t xml:space="preserve">下期の数字</t>
    </r>
  </si>
  <si>
    <t xml:space="preserve">項目</t>
  </si>
  <si>
    <t xml:space="preserve">金額（千円）</t>
  </si>
  <si>
    <t xml:space="preserve">下期予算比</t>
  </si>
  <si>
    <t xml:space="preserve">※ 算出方法</t>
  </si>
  <si>
    <t xml:space="preserve">下期予算</t>
  </si>
  <si>
    <r>
      <rPr>
        <sz val="9"/>
        <color rgb="FF767676"/>
        <rFont val="Meiryo"/>
        <family val="0"/>
        <charset val="1"/>
      </rPr>
      <t xml:space="preserve">9/11</t>
    </r>
    <r>
      <rPr>
        <sz val="9"/>
        <color rgb="FF767676"/>
        <rFont val="WenQuanYi Zen Hei"/>
        <family val="2"/>
      </rPr>
      <t xml:space="preserve">時点の値。</t>
    </r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の正式値と要確認</t>
    </r>
  </si>
  <si>
    <t xml:space="preserve">① 受注済（成約）</t>
  </si>
  <si>
    <r>
      <rPr>
        <sz val="9"/>
        <color rgb="FF767676"/>
        <rFont val="WenQuanYi Zen Hei"/>
        <family val="2"/>
      </rPr>
      <t xml:space="preserve">完了予定</t>
    </r>
    <r>
      <rPr>
        <sz val="9"/>
        <color rgb="FF767676"/>
        <rFont val="Meiryo"/>
        <family val="0"/>
        <charset val="1"/>
      </rPr>
      <t xml:space="preserve">10</t>
    </r>
    <r>
      <rPr>
        <sz val="9"/>
        <color rgb="FF767676"/>
        <rFont val="WenQuanYi Zen Hei"/>
        <family val="2"/>
      </rPr>
      <t xml:space="preserve">〜</t>
    </r>
    <r>
      <rPr>
        <sz val="9"/>
        <color rgb="FF767676"/>
        <rFont val="Meiryo"/>
        <family val="0"/>
        <charset val="1"/>
      </rPr>
      <t xml:space="preserve">3</t>
    </r>
    <r>
      <rPr>
        <sz val="9"/>
        <color rgb="FF767676"/>
        <rFont val="WenQuanYi Zen Hei"/>
        <family val="2"/>
      </rPr>
      <t xml:space="preserve">月、フェーズ</t>
    </r>
    <r>
      <rPr>
        <sz val="9"/>
        <color rgb="FF767676"/>
        <rFont val="Meiryo"/>
        <family val="0"/>
        <charset val="1"/>
      </rPr>
      <t xml:space="preserve">07.</t>
    </r>
    <r>
      <rPr>
        <sz val="9"/>
        <color rgb="FF767676"/>
        <rFont val="WenQuanYi Zen Hei"/>
        <family val="2"/>
      </rPr>
      <t xml:space="preserve">成約の</t>
    </r>
    <r>
      <rPr>
        <sz val="9"/>
        <color rgb="FF767676"/>
        <rFont val="Meiryo"/>
        <family val="0"/>
        <charset val="1"/>
      </rPr>
      <t xml:space="preserve">8</t>
    </r>
    <r>
      <rPr>
        <sz val="9"/>
        <color rgb="FF767676"/>
        <rFont val="WenQuanYi Zen Hei"/>
        <family val="2"/>
      </rPr>
      <t xml:space="preserve">件</t>
    </r>
  </si>
  <si>
    <r>
      <rPr>
        <sz val="10"/>
        <rFont val="Meiryo"/>
        <family val="0"/>
        <charset val="1"/>
      </rPr>
      <t xml:space="preserve">② AB</t>
    </r>
    <r>
      <rPr>
        <sz val="10"/>
        <rFont val="WenQuanYi Zen Hei"/>
        <family val="2"/>
      </rPr>
      <t xml:space="preserve">玉</t>
    </r>
  </si>
  <si>
    <r>
      <rPr>
        <sz val="9"/>
        <color rgb="FF767676"/>
        <rFont val="WenQuanYi Zen Hei"/>
        <family val="2"/>
      </rPr>
      <t xml:space="preserve">同期間、確度</t>
    </r>
    <r>
      <rPr>
        <sz val="9"/>
        <color rgb="FF767676"/>
        <rFont val="Meiryo"/>
        <family val="0"/>
        <charset val="1"/>
      </rPr>
      <t xml:space="preserve">A</t>
    </r>
    <r>
      <rPr>
        <sz val="9"/>
        <color rgb="FF767676"/>
        <rFont val="WenQuanYi Zen Hei"/>
        <family val="2"/>
      </rPr>
      <t xml:space="preserve">・</t>
    </r>
    <r>
      <rPr>
        <sz val="9"/>
        <color rgb="FF767676"/>
        <rFont val="Meiryo"/>
        <family val="0"/>
        <charset val="1"/>
      </rPr>
      <t xml:space="preserve">B</t>
    </r>
    <r>
      <rPr>
        <sz val="9"/>
        <color rgb="FF767676"/>
        <rFont val="WenQuanYi Zen Hei"/>
        <family val="2"/>
      </rPr>
      <t xml:space="preserve">、フェーズ</t>
    </r>
    <r>
      <rPr>
        <sz val="9"/>
        <color rgb="FF767676"/>
        <rFont val="Meiryo"/>
        <family val="0"/>
        <charset val="1"/>
      </rPr>
      <t xml:space="preserve">07</t>
    </r>
    <r>
      <rPr>
        <sz val="9"/>
        <color rgb="FF767676"/>
        <rFont val="WenQuanYi Zen Hei"/>
        <family val="2"/>
      </rPr>
      <t xml:space="preserve">以外の</t>
    </r>
    <r>
      <rPr>
        <sz val="9"/>
        <color rgb="FF767676"/>
        <rFont val="Meiryo"/>
        <family val="0"/>
        <charset val="1"/>
      </rPr>
      <t xml:space="preserve">12</t>
    </r>
    <r>
      <rPr>
        <sz val="9"/>
        <color rgb="FF767676"/>
        <rFont val="WenQuanYi Zen Hei"/>
        <family val="2"/>
      </rPr>
      <t xml:space="preserve">件</t>
    </r>
  </si>
  <si>
    <r>
      <rPr>
        <b val="true"/>
        <sz val="10"/>
        <rFont val="Meiryo"/>
        <family val="0"/>
        <charset val="1"/>
      </rPr>
      <t xml:space="preserve">AB</t>
    </r>
    <r>
      <rPr>
        <b val="true"/>
        <sz val="10"/>
        <rFont val="WenQuanYi Zen Hei"/>
        <family val="2"/>
      </rPr>
      <t xml:space="preserve">玉ベース着地見込み（①＋②）</t>
    </r>
  </si>
  <si>
    <t xml:space="preserve">ほぼ動かない確定ライン</t>
  </si>
  <si>
    <t xml:space="preserve">残り必要額（予算 −①−②）</t>
  </si>
  <si>
    <r>
      <rPr>
        <sz val="9"/>
        <color rgb="FF767676"/>
        <rFont val="WenQuanYi Zen Hei"/>
        <family val="2"/>
      </rPr>
      <t xml:space="preserve">ここを</t>
    </r>
    <r>
      <rPr>
        <sz val="9"/>
        <color rgb="FF767676"/>
        <rFont val="Meiryo"/>
        <family val="0"/>
        <charset val="1"/>
      </rPr>
      <t xml:space="preserve">CD</t>
    </r>
    <r>
      <rPr>
        <sz val="9"/>
        <color rgb="FF767676"/>
        <rFont val="WenQuanYi Zen Hei"/>
        <family val="2"/>
      </rPr>
      <t xml:space="preserve">玉から作る</t>
    </r>
  </si>
  <si>
    <r>
      <rPr>
        <sz val="10"/>
        <rFont val="Meiryo"/>
        <family val="0"/>
        <charset val="1"/>
      </rPr>
      <t xml:space="preserve">③ CD</t>
    </r>
    <r>
      <rPr>
        <sz val="10"/>
        <rFont val="WenQuanYi Zen Hei"/>
        <family val="2"/>
      </rPr>
      <t xml:space="preserve">玉（在庫）</t>
    </r>
  </si>
  <si>
    <r>
      <rPr>
        <sz val="9"/>
        <color rgb="FF767676"/>
        <rFont val="WenQuanYi Zen Hei"/>
        <family val="2"/>
      </rPr>
      <t xml:space="preserve">同期間、確度</t>
    </r>
    <r>
      <rPr>
        <sz val="9"/>
        <color rgb="FF767676"/>
        <rFont val="Meiryo"/>
        <family val="0"/>
        <charset val="1"/>
      </rPr>
      <t xml:space="preserve">C</t>
    </r>
    <r>
      <rPr>
        <sz val="9"/>
        <color rgb="FF767676"/>
        <rFont val="WenQuanYi Zen Hei"/>
        <family val="2"/>
      </rPr>
      <t xml:space="preserve">・</t>
    </r>
    <r>
      <rPr>
        <sz val="9"/>
        <color rgb="FF767676"/>
        <rFont val="Meiryo"/>
        <family val="0"/>
        <charset val="1"/>
      </rPr>
      <t xml:space="preserve">D</t>
    </r>
    <r>
      <rPr>
        <sz val="9"/>
        <color rgb="FF767676"/>
        <rFont val="WenQuanYi Zen Hei"/>
        <family val="2"/>
      </rPr>
      <t xml:space="preserve">、フェーズ</t>
    </r>
    <r>
      <rPr>
        <sz val="9"/>
        <color rgb="FF767676"/>
        <rFont val="Meiryo"/>
        <family val="0"/>
        <charset val="1"/>
      </rPr>
      <t xml:space="preserve">07</t>
    </r>
    <r>
      <rPr>
        <sz val="9"/>
        <color rgb="FF767676"/>
        <rFont val="WenQuanYi Zen Hei"/>
        <family val="2"/>
      </rPr>
      <t xml:space="preserve">以外の</t>
    </r>
    <r>
      <rPr>
        <sz val="9"/>
        <color rgb="FF767676"/>
        <rFont val="Meiryo"/>
        <family val="0"/>
        <charset val="1"/>
      </rPr>
      <t xml:space="preserve">113</t>
    </r>
    <r>
      <rPr>
        <sz val="9"/>
        <color rgb="FF767676"/>
        <rFont val="WenQuanYi Zen Hei"/>
        <family val="2"/>
      </rPr>
      <t xml:space="preserve">件</t>
    </r>
  </si>
  <si>
    <r>
      <rPr>
        <b val="true"/>
        <sz val="10"/>
        <rFont val="Meiryo"/>
        <family val="0"/>
        <charset val="1"/>
      </rPr>
      <t xml:space="preserve">■ B. AB</t>
    </r>
    <r>
      <rPr>
        <b val="true"/>
        <sz val="10"/>
        <rFont val="WenQuanYi Zen Hei"/>
        <family val="2"/>
      </rPr>
      <t xml:space="preserve">を差し引いた後 ─ あといくら足りないか</t>
    </r>
  </si>
  <si>
    <t xml:space="preserve">値</t>
  </si>
  <si>
    <t xml:space="preserve">残り必要額</t>
  </si>
  <si>
    <r>
      <rPr>
        <sz val="9"/>
        <color rgb="FF767676"/>
        <rFont val="Meiryo"/>
        <family val="0"/>
        <charset val="1"/>
      </rPr>
      <t xml:space="preserve">A</t>
    </r>
    <r>
      <rPr>
        <sz val="9"/>
        <color rgb="FF767676"/>
        <rFont val="WenQuanYi Zen Hei"/>
        <family val="2"/>
      </rPr>
      <t xml:space="preserve">表より（下期予算 − 受注済 − </t>
    </r>
    <r>
      <rPr>
        <sz val="9"/>
        <color rgb="FF767676"/>
        <rFont val="Meiryo"/>
        <family val="0"/>
        <charset val="1"/>
      </rPr>
      <t xml:space="preserve">AB</t>
    </r>
    <r>
      <rPr>
        <sz val="9"/>
        <color rgb="FF767676"/>
        <rFont val="WenQuanYi Zen Hei"/>
        <family val="2"/>
      </rPr>
      <t xml:space="preserve">玉）</t>
    </r>
  </si>
  <si>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玉（在庫）</t>
    </r>
  </si>
  <si>
    <r>
      <rPr>
        <sz val="9"/>
        <color rgb="FF767676"/>
        <rFont val="Meiryo"/>
        <family val="0"/>
        <charset val="1"/>
      </rPr>
      <t xml:space="preserve">A</t>
    </r>
    <r>
      <rPr>
        <sz val="9"/>
        <color rgb="FF767676"/>
        <rFont val="WenQuanYi Zen Hei"/>
        <family val="2"/>
      </rPr>
      <t xml:space="preserve">表より</t>
    </r>
  </si>
  <si>
    <t xml:space="preserve">必要転換率</t>
  </si>
  <si>
    <r>
      <rPr>
        <sz val="9"/>
        <color rgb="FF767676"/>
        <rFont val="WenQuanYi Zen Hei"/>
        <family val="2"/>
      </rPr>
      <t xml:space="preserve">残り必要額 </t>
    </r>
    <r>
      <rPr>
        <sz val="9"/>
        <color rgb="FF767676"/>
        <rFont val="Meiryo"/>
        <family val="0"/>
        <charset val="1"/>
      </rPr>
      <t xml:space="preserve">÷ CD</t>
    </r>
    <r>
      <rPr>
        <sz val="9"/>
        <color rgb="FF767676"/>
        <rFont val="WenQuanYi Zen Hei"/>
        <family val="2"/>
      </rPr>
      <t xml:space="preserve">玉。これだけ転換できれば予算に届く</t>
    </r>
  </si>
  <si>
    <t xml:space="preserve">想定転換率（実績の成約率）</t>
  </si>
  <si>
    <r>
      <rPr>
        <sz val="9"/>
        <color rgb="FF767676"/>
        <rFont val="WenQuanYi Zen Hei"/>
        <family val="2"/>
      </rPr>
      <t xml:space="preserve">直近</t>
    </r>
    <r>
      <rPr>
        <sz val="9"/>
        <color rgb="FF767676"/>
        <rFont val="Meiryo"/>
        <family val="0"/>
        <charset val="1"/>
      </rPr>
      <t xml:space="preserve">2</t>
    </r>
    <r>
      <rPr>
        <sz val="9"/>
        <color rgb="FF767676"/>
        <rFont val="WenQuanYi Zen Hei"/>
        <family val="2"/>
      </rPr>
      <t xml:space="preserve">年</t>
    </r>
    <r>
      <rPr>
        <sz val="9"/>
        <color rgb="FF767676"/>
        <rFont val="Meiryo"/>
        <family val="0"/>
        <charset val="1"/>
      </rPr>
      <t xml:space="preserve">593</t>
    </r>
    <r>
      <rPr>
        <sz val="9"/>
        <color rgb="FF767676"/>
        <rFont val="WenQuanYi Zen Hei"/>
        <family val="2"/>
      </rPr>
      <t xml:space="preserve">件の実測</t>
    </r>
  </si>
  <si>
    <t xml:space="preserve">想定どおりの転換額</t>
  </si>
  <si>
    <r>
      <rPr>
        <sz val="9"/>
        <color rgb="FF767676"/>
        <rFont val="Meiryo"/>
        <family val="0"/>
        <charset val="1"/>
      </rPr>
      <t xml:space="preserve">CD</t>
    </r>
    <r>
      <rPr>
        <sz val="9"/>
        <color rgb="FF767676"/>
        <rFont val="WenQuanYi Zen Hei"/>
        <family val="2"/>
      </rPr>
      <t xml:space="preserve">玉 </t>
    </r>
    <r>
      <rPr>
        <sz val="9"/>
        <color rgb="FF767676"/>
        <rFont val="Meiryo"/>
        <family val="0"/>
        <charset val="1"/>
      </rPr>
      <t xml:space="preserve">× </t>
    </r>
    <r>
      <rPr>
        <sz val="9"/>
        <color rgb="FF767676"/>
        <rFont val="WenQuanYi Zen Hei"/>
        <family val="2"/>
      </rPr>
      <t xml:space="preserve">想定転換率</t>
    </r>
  </si>
  <si>
    <t xml:space="preserve">不足</t>
  </si>
  <si>
    <t xml:space="preserve">残り必要額 − 想定どおりの転換額</t>
  </si>
  <si>
    <r>
      <rPr>
        <b val="true"/>
        <sz val="10"/>
        <rFont val="Meiryo"/>
        <family val="0"/>
        <charset val="1"/>
      </rPr>
      <t xml:space="preserve">■ C. </t>
    </r>
    <r>
      <rPr>
        <b val="true"/>
        <sz val="10"/>
        <rFont val="WenQuanYi Zen Hei"/>
        <family val="2"/>
      </rPr>
      <t xml:space="preserve">最終着地の見立て</t>
    </r>
  </si>
  <si>
    <t xml:space="preserve">① 受注済</t>
  </si>
  <si>
    <t xml:space="preserve">確定</t>
  </si>
  <si>
    <t xml:space="preserve">ほぼ動かない</t>
  </si>
  <si>
    <r>
      <rPr>
        <sz val="10"/>
        <rFont val="Meiryo"/>
        <family val="0"/>
        <charset val="1"/>
      </rPr>
      <t xml:space="preserve">③ CD</t>
    </r>
    <r>
      <rPr>
        <sz val="10"/>
        <rFont val="WenQuanYi Zen Hei"/>
        <family val="2"/>
      </rPr>
      <t xml:space="preserve">玉からの転換</t>
    </r>
  </si>
  <si>
    <t xml:space="preserve">最終着地見込み</t>
  </si>
  <si>
    <t xml:space="preserve">①＋②＋③</t>
  </si>
  <si>
    <t xml:space="preserve">予算との差</t>
  </si>
  <si>
    <t xml:space="preserve">下期予算 − 最終着地見込み</t>
  </si>
  <si>
    <r>
      <rPr>
        <b val="true"/>
        <sz val="13"/>
        <color rgb="FF1F3D1F"/>
        <rFont val="WenQuanYi Zen Hei"/>
        <family val="2"/>
      </rPr>
      <t xml:space="preserve">月次（下期</t>
    </r>
    <r>
      <rPr>
        <b val="true"/>
        <sz val="13"/>
        <color rgb="FF1F3D1F"/>
        <rFont val="Meiryo"/>
        <family val="0"/>
        <charset val="1"/>
      </rPr>
      <t xml:space="preserve">6</t>
    </r>
    <r>
      <rPr>
        <b val="true"/>
        <sz val="13"/>
        <color rgb="FF1F3D1F"/>
        <rFont val="WenQuanYi Zen Hei"/>
        <family val="2"/>
      </rPr>
      <t xml:space="preserve">ヶ月）　単位：千円</t>
    </r>
  </si>
  <si>
    <r>
      <rPr>
        <sz val="9"/>
        <color rgb="FF767676"/>
        <rFont val="WenQuanYi Zen Hei"/>
        <family val="2"/>
      </rPr>
      <t xml:space="preserve">青字のみ手入力。</t>
    </r>
    <r>
      <rPr>
        <sz val="9"/>
        <color rgb="FF767676"/>
        <rFont val="Meiryo"/>
        <family val="0"/>
        <charset val="1"/>
      </rPr>
      <t xml:space="preserve">SF</t>
    </r>
    <r>
      <rPr>
        <sz val="9"/>
        <color rgb="FF767676"/>
        <rFont val="WenQuanYi Zen Hei"/>
        <family val="2"/>
      </rPr>
      <t xml:space="preserve">の完了予定月・確度・フェーズで集計した値を入れてください。</t>
    </r>
  </si>
  <si>
    <r>
      <rPr>
        <b val="true"/>
        <sz val="10"/>
        <color rgb="FFFFFFFF"/>
        <rFont val="Meiryo"/>
        <family val="0"/>
        <charset val="1"/>
      </rPr>
      <t xml:space="preserve">10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</si>
  <si>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11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</si>
  <si>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12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</si>
  <si>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1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</si>
  <si>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2</t>
    </r>
    <r>
      <rPr>
        <b val="true"/>
        <sz val="10"/>
        <color rgb="FFFFFFFF"/>
        <rFont val="WenQuanYi Zen Hei"/>
        <family val="2"/>
      </rPr>
      <t xml:space="preserve">月</t>
    </r>
  </si>
  <si>
    <r>
      <rPr>
        <b val="true"/>
        <sz val="10"/>
        <color rgb="FFFFFFFF"/>
        <rFont val="Meiryo"/>
        <family val="0"/>
        <charset val="1"/>
      </rPr>
      <t xml:space="preserve">3</t>
    </r>
    <r>
      <rPr>
        <b val="true"/>
        <sz val="10"/>
        <color rgb="FFFFFFFF"/>
        <rFont val="WenQuanYi Zen Hei"/>
        <family val="2"/>
      </rPr>
      <t xml:space="preserve">月</t>
    </r>
  </si>
  <si>
    <t xml:space="preserve">下期合計</t>
  </si>
  <si>
    <t xml:space="preserve">商談件数</t>
  </si>
  <si>
    <t xml:space="preserve">月予算</t>
  </si>
  <si>
    <r>
      <rPr>
        <sz val="10"/>
        <rFont val="WenQuanYi Zen Hei"/>
        <family val="2"/>
      </rPr>
      <t xml:space="preserve">① 受注済（フェーズ</t>
    </r>
    <r>
      <rPr>
        <sz val="10"/>
        <rFont val="Meiryo"/>
        <family val="0"/>
        <charset val="1"/>
      </rPr>
      <t xml:space="preserve">07.</t>
    </r>
    <r>
      <rPr>
        <sz val="10"/>
        <rFont val="WenQuanYi Zen Hei"/>
        <family val="2"/>
      </rPr>
      <t xml:space="preserve">成約）</t>
    </r>
  </si>
  <si>
    <r>
      <rPr>
        <sz val="10"/>
        <rFont val="Meiryo"/>
        <family val="0"/>
        <charset val="1"/>
      </rPr>
      <t xml:space="preserve">② AB</t>
    </r>
    <r>
      <rPr>
        <sz val="10"/>
        <rFont val="WenQuanYi Zen Hei"/>
        <family val="2"/>
      </rPr>
      <t xml:space="preserve">玉（確度</t>
    </r>
    <r>
      <rPr>
        <sz val="10"/>
        <rFont val="Meiryo"/>
        <family val="0"/>
        <charset val="1"/>
      </rPr>
      <t xml:space="preserve">A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／未成約）</t>
    </r>
  </si>
  <si>
    <t xml:space="preserve">月予算に対する達成率</t>
  </si>
  <si>
    <t xml:space="preserve">残り必要額（月予算 −①−②）</t>
  </si>
  <si>
    <r>
      <rPr>
        <sz val="10"/>
        <rFont val="Meiryo"/>
        <family val="0"/>
        <charset val="1"/>
      </rPr>
      <t xml:space="preserve">③ CD</t>
    </r>
    <r>
      <rPr>
        <sz val="10"/>
        <rFont val="WenQuanYi Zen Hei"/>
        <family val="2"/>
      </rPr>
      <t xml:space="preserve">玉（確度</t>
    </r>
    <r>
      <rPr>
        <sz val="10"/>
        <rFont val="Meiryo"/>
        <family val="0"/>
        <charset val="1"/>
      </rPr>
      <t xml:space="preserve">C</t>
    </r>
    <r>
      <rPr>
        <sz val="10"/>
        <rFont val="WenQuanYi Zen Hei"/>
        <family val="2"/>
      </rPr>
      <t xml:space="preserve">・</t>
    </r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／未成約）</t>
    </r>
  </si>
  <si>
    <r>
      <rPr>
        <b val="true"/>
        <sz val="10"/>
        <rFont val="WenQuanYi Zen Hei"/>
        <family val="2"/>
      </rPr>
      <t xml:space="preserve">必要転換率（残り必要額 </t>
    </r>
    <r>
      <rPr>
        <b val="true"/>
        <sz val="10"/>
        <rFont val="Meiryo"/>
        <family val="0"/>
        <charset val="1"/>
      </rPr>
      <t xml:space="preserve">÷ CD</t>
    </r>
    <r>
      <rPr>
        <b val="true"/>
        <sz val="10"/>
        <rFont val="WenQuanYi Zen Hei"/>
        <family val="2"/>
      </rPr>
      <t xml:space="preserve">玉）</t>
    </r>
  </si>
  <si>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玉からの転換（想定転換率）</t>
    </r>
  </si>
  <si>
    <t xml:space="preserve">最終着地見込み（①＋②＋転換）</t>
  </si>
  <si>
    <t xml:space="preserve">最終着地率</t>
  </si>
  <si>
    <t xml:space="preserve">月予算に対する過不足</t>
  </si>
  <si>
    <t xml:space="preserve">（参考）金額未入力 件数</t>
  </si>
  <si>
    <t xml:space="preserve">（参考）長期玉</t>
  </si>
  <si>
    <r>
      <rPr>
        <sz val="9"/>
        <color rgb="FF767676"/>
        <rFont val="WenQuanYi Zen Hei"/>
        <family val="2"/>
      </rPr>
      <t xml:space="preserve">※ 必要転換率が</t>
    </r>
    <r>
      <rPr>
        <sz val="9"/>
        <color rgb="FF767676"/>
        <rFont val="Meiryo"/>
        <family val="0"/>
        <charset val="1"/>
      </rPr>
      <t xml:space="preserve">100%</t>
    </r>
    <r>
      <rPr>
        <sz val="9"/>
        <color rgb="FF767676"/>
        <rFont val="WenQuanYi Zen Hei"/>
        <family val="2"/>
      </rPr>
      <t xml:space="preserve">を超える月は、いまある玉では月予算に届かないことを意味します。</t>
    </r>
  </si>
  <si>
    <r>
      <rPr>
        <sz val="9"/>
        <color rgb="FF767676"/>
        <rFont val="WenQuanYi Zen Hei"/>
        <family val="2"/>
      </rPr>
      <t xml:space="preserve">※ 長期玉は</t>
    </r>
    <r>
      <rPr>
        <sz val="9"/>
        <color rgb="FF767676"/>
        <rFont val="Meiryo"/>
        <family val="0"/>
        <charset val="1"/>
      </rPr>
      <t xml:space="preserve">CD</t>
    </r>
    <r>
      <rPr>
        <sz val="9"/>
        <color rgb="FF767676"/>
        <rFont val="WenQuanYi Zen Hei"/>
        <family val="2"/>
      </rPr>
      <t xml:space="preserve">玉に含めていません。</t>
    </r>
  </si>
  <si>
    <r>
      <rPr>
        <b val="true"/>
        <sz val="13"/>
        <color rgb="FF1F3D1F"/>
        <rFont val="Meiryo"/>
        <family val="0"/>
        <charset val="1"/>
      </rPr>
      <t xml:space="preserve">CD</t>
    </r>
    <r>
      <rPr>
        <b val="true"/>
        <sz val="13"/>
        <color rgb="FF1F3D1F"/>
        <rFont val="WenQuanYi Zen Hei"/>
        <family val="2"/>
      </rPr>
      <t xml:space="preserve">玉の金額未入力を補完した場合　単位：千円</t>
    </r>
  </si>
  <si>
    <r>
      <rPr>
        <sz val="9"/>
        <color rgb="FF767676"/>
        <rFont val="WenQuanYi Zen Hei"/>
        <family val="2"/>
      </rPr>
      <t xml:space="preserve">下期</t>
    </r>
    <r>
      <rPr>
        <sz val="9"/>
        <color rgb="FF767676"/>
        <rFont val="Meiryo"/>
        <family val="0"/>
        <charset val="1"/>
      </rPr>
      <t xml:space="preserve">CD</t>
    </r>
    <r>
      <rPr>
        <sz val="9"/>
        <color rgb="FF767676"/>
        <rFont val="WenQuanYi Zen Hei"/>
        <family val="2"/>
      </rPr>
      <t xml:space="preserve">玉</t>
    </r>
    <r>
      <rPr>
        <sz val="9"/>
        <color rgb="FF767676"/>
        <rFont val="Meiryo"/>
        <family val="0"/>
        <charset val="1"/>
      </rPr>
      <t xml:space="preserve">113</t>
    </r>
    <r>
      <rPr>
        <sz val="9"/>
        <color rgb="FF767676"/>
        <rFont val="WenQuanYi Zen Hei"/>
        <family val="2"/>
      </rPr>
      <t xml:space="preserve">件のうち</t>
    </r>
    <r>
      <rPr>
        <sz val="9"/>
        <color rgb="FF767676"/>
        <rFont val="Meiryo"/>
        <family val="0"/>
        <charset val="1"/>
      </rPr>
      <t xml:space="preserve">34</t>
    </r>
    <r>
      <rPr>
        <sz val="9"/>
        <color rgb="FF767676"/>
        <rFont val="WenQuanYi Zen Hei"/>
        <family val="2"/>
      </rPr>
      <t xml:space="preserve">件（</t>
    </r>
    <r>
      <rPr>
        <sz val="9"/>
        <color rgb="FF767676"/>
        <rFont val="Meiryo"/>
        <family val="0"/>
        <charset val="1"/>
      </rPr>
      <t xml:space="preserve">30%</t>
    </r>
    <r>
      <rPr>
        <sz val="9"/>
        <color rgb="FF767676"/>
        <rFont val="WenQuanYi Zen Hei"/>
        <family val="2"/>
      </rPr>
      <t xml:space="preserve">）が金額未入力。営業活動をせずとも、入力するだけで見える数字が変わります。</t>
    </r>
  </si>
  <si>
    <t xml:space="preserve">現状</t>
  </si>
  <si>
    <t xml:space="preserve">中央値で補完</t>
  </si>
  <si>
    <t xml:space="preserve">平均で補完</t>
  </si>
  <si>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</t>
    </r>
  </si>
  <si>
    <r>
      <rPr>
        <sz val="9"/>
        <color rgb="FF767676"/>
        <rFont val="WenQuanYi Zen Hei"/>
        <family val="2"/>
      </rPr>
      <t xml:space="preserve">現状 ＋ 未入力件数 </t>
    </r>
    <r>
      <rPr>
        <sz val="9"/>
        <color rgb="FF767676"/>
        <rFont val="Meiryo"/>
        <family val="0"/>
        <charset val="1"/>
      </rPr>
      <t xml:space="preserve">× </t>
    </r>
    <r>
      <rPr>
        <sz val="9"/>
        <color rgb="FF767676"/>
        <rFont val="WenQuanYi Zen Hei"/>
        <family val="2"/>
      </rPr>
      <t xml:space="preserve">単価</t>
    </r>
  </si>
  <si>
    <r>
      <rPr>
        <sz val="9"/>
        <color rgb="FF767676"/>
        <rFont val="WenQuanYi Zen Hei"/>
        <family val="2"/>
      </rPr>
      <t xml:space="preserve">残り必要額 </t>
    </r>
    <r>
      <rPr>
        <sz val="9"/>
        <color rgb="FF767676"/>
        <rFont val="Meiryo"/>
        <family val="0"/>
        <charset val="1"/>
      </rPr>
      <t xml:space="preserve">÷ CD</t>
    </r>
    <r>
      <rPr>
        <sz val="9"/>
        <color rgb="FF767676"/>
        <rFont val="WenQuanYi Zen Hei"/>
        <family val="2"/>
      </rPr>
      <t xml:space="preserve">玉</t>
    </r>
  </si>
  <si>
    <r>
      <rPr>
        <sz val="9"/>
        <color rgb="FF767676"/>
        <rFont val="Meiryo"/>
        <family val="0"/>
        <charset val="1"/>
      </rPr>
      <t xml:space="preserve">AB</t>
    </r>
    <r>
      <rPr>
        <sz val="9"/>
        <color rgb="FF767676"/>
        <rFont val="WenQuanYi Zen Hei"/>
        <family val="2"/>
      </rPr>
      <t xml:space="preserve">玉ベース着地 ＋ 転換額</t>
    </r>
  </si>
  <si>
    <r>
      <rPr>
        <sz val="9"/>
        <color rgb="FF767676"/>
        <rFont val="WenQuanYi Zen Hei"/>
        <family val="2"/>
      </rPr>
      <t xml:space="preserve">最終着地見込み </t>
    </r>
    <r>
      <rPr>
        <sz val="9"/>
        <color rgb="FF767676"/>
        <rFont val="Meiryo"/>
        <family val="0"/>
        <charset val="1"/>
      </rPr>
      <t xml:space="preserve">÷ </t>
    </r>
    <r>
      <rPr>
        <sz val="9"/>
        <color rgb="FF767676"/>
        <rFont val="WenQuanYi Zen Hei"/>
        <family val="2"/>
      </rPr>
      <t xml:space="preserve">下期予算</t>
    </r>
  </si>
  <si>
    <r>
      <rPr>
        <sz val="9"/>
        <color rgb="FF767676"/>
        <rFont val="WenQuanYi Zen Hei"/>
        <family val="2"/>
      </rPr>
      <t xml:space="preserve">※ 未入力</t>
    </r>
    <r>
      <rPr>
        <sz val="9"/>
        <color rgb="FF767676"/>
        <rFont val="Meiryo"/>
        <family val="0"/>
        <charset val="1"/>
      </rPr>
      <t xml:space="preserve">34</t>
    </r>
    <r>
      <rPr>
        <sz val="9"/>
        <color rgb="FF767676"/>
        <rFont val="WenQuanYi Zen Hei"/>
        <family val="2"/>
      </rPr>
      <t xml:space="preserve">件の内訳：</t>
    </r>
    <r>
      <rPr>
        <sz val="9"/>
        <color rgb="FF767676"/>
        <rFont val="Meiryo"/>
        <family val="0"/>
        <charset val="1"/>
      </rPr>
      <t xml:space="preserve">3</t>
    </r>
    <r>
      <rPr>
        <sz val="9"/>
        <color rgb="FF767676"/>
        <rFont val="WenQuanYi Zen Hei"/>
        <family val="2"/>
      </rPr>
      <t xml:space="preserve">月が</t>
    </r>
    <r>
      <rPr>
        <sz val="9"/>
        <color rgb="FF767676"/>
        <rFont val="Meiryo"/>
        <family val="0"/>
        <charset val="1"/>
      </rPr>
      <t xml:space="preserve">17</t>
    </r>
    <r>
      <rPr>
        <sz val="9"/>
        <color rgb="FF767676"/>
        <rFont val="WenQuanYi Zen Hei"/>
        <family val="2"/>
      </rPr>
      <t xml:space="preserve">件（うち</t>
    </r>
    <r>
      <rPr>
        <sz val="9"/>
        <color rgb="FF767676"/>
        <rFont val="Meiryo"/>
        <family val="0"/>
        <charset val="1"/>
      </rPr>
      <t xml:space="preserve">10</t>
    </r>
    <r>
      <rPr>
        <sz val="9"/>
        <color rgb="FF767676"/>
        <rFont val="WenQuanYi Zen Hei"/>
        <family val="2"/>
      </rPr>
      <t xml:space="preserve">件が片岡さん）。</t>
    </r>
    <r>
      <rPr>
        <sz val="9"/>
        <color rgb="FF767676"/>
        <rFont val="Meiryo"/>
        <family val="0"/>
        <charset val="1"/>
      </rPr>
      <t xml:space="preserve">3</t>
    </r>
    <r>
      <rPr>
        <sz val="9"/>
        <color rgb="FF767676"/>
        <rFont val="WenQuanYi Zen Hei"/>
        <family val="2"/>
      </rPr>
      <t xml:space="preserve">月を優先して埋めると効果が大きい。</t>
    </r>
  </si>
  <si>
    <t xml:space="preserve">算出方法と注意点</t>
  </si>
  <si>
    <t xml:space="preserve">■ データの範囲</t>
  </si>
  <si>
    <t xml:space="preserve">対象</t>
  </si>
  <si>
    <r>
      <rPr>
        <sz val="10"/>
        <rFont val="WenQuanYi Zen Hei"/>
        <family val="2"/>
      </rPr>
      <t xml:space="preserve">商談レコードタイプ＝木材コーディネート＋</t>
    </r>
    <r>
      <rPr>
        <sz val="10"/>
        <rFont val="Meiryo"/>
        <family val="0"/>
        <charset val="1"/>
      </rPr>
      <t xml:space="preserve">TREEBATON</t>
    </r>
  </si>
  <si>
    <t xml:space="preserve">除外</t>
  </si>
  <si>
    <r>
      <rPr>
        <sz val="10"/>
        <rFont val="WenQuanYi Zen Hei"/>
        <family val="2"/>
      </rPr>
      <t xml:space="preserve">フェーズ</t>
    </r>
    <r>
      <rPr>
        <sz val="10"/>
        <rFont val="Meiryo"/>
        <family val="0"/>
        <charset val="1"/>
      </rPr>
      <t xml:space="preserve">00_</t>
    </r>
    <r>
      <rPr>
        <sz val="10"/>
        <rFont val="WenQuanYi Zen Hei"/>
        <family val="2"/>
      </rPr>
      <t xml:space="preserve">失注、テスト商談、＊原価管理用＊</t>
    </r>
  </si>
  <si>
    <t xml:space="preserve">期間</t>
  </si>
  <si>
    <r>
      <rPr>
        <sz val="10"/>
        <rFont val="WenQuanYi Zen Hei"/>
        <family val="2"/>
      </rPr>
      <t xml:space="preserve">完了予定日が</t>
    </r>
    <r>
      <rPr>
        <sz val="10"/>
        <rFont val="Meiryo"/>
        <family val="0"/>
        <charset val="1"/>
      </rPr>
      <t xml:space="preserve">26</t>
    </r>
    <r>
      <rPr>
        <sz val="10"/>
        <rFont val="WenQuanYi Zen Hei"/>
        <family val="2"/>
      </rPr>
      <t xml:space="preserve">年度。下期＝</t>
    </r>
    <r>
      <rPr>
        <sz val="10"/>
        <rFont val="Meiryo"/>
        <family val="0"/>
        <charset val="1"/>
      </rPr>
      <t xml:space="preserve">2026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10</t>
    </r>
    <r>
      <rPr>
        <sz val="10"/>
        <rFont val="WenQuanYi Zen Hei"/>
        <family val="2"/>
      </rPr>
      <t xml:space="preserve">月〜</t>
    </r>
    <r>
      <rPr>
        <sz val="10"/>
        <rFont val="Meiryo"/>
        <family val="0"/>
        <charset val="1"/>
      </rPr>
      <t xml:space="preserve">2027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月</t>
    </r>
  </si>
  <si>
    <t xml:space="preserve">基準日</t>
  </si>
  <si>
    <t xml:space="preserve">含まないもの</t>
  </si>
  <si>
    <r>
      <rPr>
        <sz val="10"/>
        <rFont val="Meiryo"/>
        <family val="0"/>
        <charset val="1"/>
      </rPr>
      <t xml:space="preserve">OEM</t>
    </r>
    <r>
      <rPr>
        <sz val="10"/>
        <rFont val="WenQuanYi Zen Hei"/>
        <family val="2"/>
      </rPr>
      <t xml:space="preserve">・建築。営業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分類の全体を見る場合は別途レポートが必要</t>
    </r>
  </si>
  <si>
    <t xml:space="preserve">■ 各数字の作り方</t>
  </si>
  <si>
    <r>
      <rPr>
        <sz val="10"/>
        <rFont val="WenQuanYi Zen Hei"/>
        <family val="2"/>
      </rPr>
      <t xml:space="preserve">下期・フェーズ「</t>
    </r>
    <r>
      <rPr>
        <sz val="10"/>
        <rFont val="Meiryo"/>
        <family val="0"/>
        <charset val="1"/>
      </rPr>
      <t xml:space="preserve">07.</t>
    </r>
    <r>
      <rPr>
        <sz val="10"/>
        <rFont val="WenQuanYi Zen Hei"/>
        <family val="2"/>
      </rPr>
      <t xml:space="preserve">成約」の金額合計（</t>
    </r>
    <r>
      <rPr>
        <sz val="10"/>
        <rFont val="Meiryo"/>
        <family val="0"/>
        <charset val="1"/>
      </rPr>
      <t xml:space="preserve">8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13,111</t>
    </r>
    <r>
      <rPr>
        <sz val="10"/>
        <rFont val="WenQuanYi Zen Hei"/>
        <family val="2"/>
      </rPr>
      <t xml:space="preserve">千円）</t>
    </r>
  </si>
  <si>
    <r>
      <rPr>
        <b val="true"/>
        <sz val="10"/>
        <rFont val="Meiryo"/>
        <family val="0"/>
        <charset val="1"/>
      </rPr>
      <t xml:space="preserve">② AB</t>
    </r>
    <r>
      <rPr>
        <b val="true"/>
        <sz val="10"/>
        <rFont val="WenQuanYi Zen Hei"/>
        <family val="2"/>
      </rPr>
      <t xml:space="preserve">玉</t>
    </r>
  </si>
  <si>
    <r>
      <rPr>
        <sz val="10"/>
        <rFont val="WenQuanYi Zen Hei"/>
        <family val="2"/>
      </rPr>
      <t xml:space="preserve">下期・確度</t>
    </r>
    <r>
      <rPr>
        <sz val="10"/>
        <rFont val="Meiryo"/>
        <family val="0"/>
        <charset val="1"/>
      </rPr>
      <t xml:space="preserve">A </t>
    </r>
    <r>
      <rPr>
        <sz val="10"/>
        <rFont val="WenQuanYi Zen Hei"/>
        <family val="2"/>
      </rPr>
      <t xml:space="preserve">または </t>
    </r>
    <r>
      <rPr>
        <sz val="10"/>
        <rFont val="Meiryo"/>
        <family val="0"/>
        <charset val="1"/>
      </rPr>
      <t xml:space="preserve">B</t>
    </r>
    <r>
      <rPr>
        <sz val="10"/>
        <rFont val="WenQuanYi Zen Hei"/>
        <family val="2"/>
      </rPr>
      <t xml:space="preserve">・フェーズ</t>
    </r>
    <r>
      <rPr>
        <sz val="10"/>
        <rFont val="Meiryo"/>
        <family val="0"/>
        <charset val="1"/>
      </rPr>
      <t xml:space="preserve">07</t>
    </r>
    <r>
      <rPr>
        <sz val="10"/>
        <rFont val="WenQuanYi Zen Hei"/>
        <family val="2"/>
      </rPr>
      <t xml:space="preserve">以外の金額合計（</t>
    </r>
    <r>
      <rPr>
        <sz val="10"/>
        <rFont val="Meiryo"/>
        <family val="0"/>
        <charset val="1"/>
      </rPr>
      <t xml:space="preserve">12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20,739</t>
    </r>
    <r>
      <rPr>
        <sz val="10"/>
        <rFont val="WenQuanYi Zen Hei"/>
        <family val="2"/>
      </rPr>
      <t xml:space="preserve">千円）</t>
    </r>
  </si>
  <si>
    <r>
      <rPr>
        <b val="true"/>
        <sz val="10"/>
        <rFont val="Meiryo"/>
        <family val="0"/>
        <charset val="1"/>
      </rPr>
      <t xml:space="preserve">③ CD</t>
    </r>
    <r>
      <rPr>
        <b val="true"/>
        <sz val="10"/>
        <rFont val="WenQuanYi Zen Hei"/>
        <family val="2"/>
      </rPr>
      <t xml:space="preserve">玉</t>
    </r>
  </si>
  <si>
    <r>
      <rPr>
        <sz val="10"/>
        <rFont val="WenQuanYi Zen Hei"/>
        <family val="2"/>
      </rPr>
      <t xml:space="preserve">下期・確度</t>
    </r>
    <r>
      <rPr>
        <sz val="10"/>
        <rFont val="Meiryo"/>
        <family val="0"/>
        <charset val="1"/>
      </rPr>
      <t xml:space="preserve">C </t>
    </r>
    <r>
      <rPr>
        <sz val="10"/>
        <rFont val="WenQuanYi Zen Hei"/>
        <family val="2"/>
      </rPr>
      <t xml:space="preserve">または </t>
    </r>
    <r>
      <rPr>
        <sz val="10"/>
        <rFont val="Meiryo"/>
        <family val="0"/>
        <charset val="1"/>
      </rPr>
      <t xml:space="preserve">D</t>
    </r>
    <r>
      <rPr>
        <sz val="10"/>
        <rFont val="WenQuanYi Zen Hei"/>
        <family val="2"/>
      </rPr>
      <t xml:space="preserve">・フェーズ</t>
    </r>
    <r>
      <rPr>
        <sz val="10"/>
        <rFont val="Meiryo"/>
        <family val="0"/>
        <charset val="1"/>
      </rPr>
      <t xml:space="preserve">07</t>
    </r>
    <r>
      <rPr>
        <sz val="10"/>
        <rFont val="WenQuanYi Zen Hei"/>
        <family val="2"/>
      </rPr>
      <t xml:space="preserve">以外の金額合計（</t>
    </r>
    <r>
      <rPr>
        <sz val="10"/>
        <rFont val="Meiryo"/>
        <family val="0"/>
        <charset val="1"/>
      </rPr>
      <t xml:space="preserve">113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183,799</t>
    </r>
    <r>
      <rPr>
        <sz val="10"/>
        <rFont val="WenQuanYi Zen Hei"/>
        <family val="2"/>
      </rPr>
      <t xml:space="preserve">千円）</t>
    </r>
  </si>
  <si>
    <r>
      <rPr>
        <b val="true"/>
        <sz val="10"/>
        <rFont val="Meiryo"/>
        <family val="0"/>
        <charset val="1"/>
      </rPr>
      <t xml:space="preserve">AB</t>
    </r>
    <r>
      <rPr>
        <b val="true"/>
        <sz val="10"/>
        <rFont val="WenQuanYi Zen Hei"/>
        <family val="2"/>
      </rPr>
      <t xml:space="preserve">玉ベース着地見込み</t>
    </r>
  </si>
  <si>
    <t xml:space="preserve">① ＋ ②。確度が高く、ほぼ動かない確定ライン</t>
  </si>
  <si>
    <t xml:space="preserve">下期予算 −（①＋②）</t>
  </si>
  <si>
    <r>
      <rPr>
        <sz val="10"/>
        <rFont val="WenQuanYi Zen Hei"/>
        <family val="2"/>
      </rPr>
      <t xml:space="preserve">残り必要額 </t>
    </r>
    <r>
      <rPr>
        <sz val="10"/>
        <rFont val="Meiryo"/>
        <family val="0"/>
        <charset val="1"/>
      </rPr>
      <t xml:space="preserve">÷ CD</t>
    </r>
    <r>
      <rPr>
        <sz val="10"/>
        <rFont val="WenQuanYi Zen Hei"/>
        <family val="2"/>
      </rPr>
      <t xml:space="preserve">玉。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玉のうちこれだけ成約できれば予算に届く</t>
    </r>
  </si>
  <si>
    <r>
      <rPr>
        <b val="true"/>
        <sz val="10"/>
        <rFont val="WenQuanYi Zen Hei"/>
        <family val="2"/>
      </rPr>
      <t xml:space="preserve">想定転換率 </t>
    </r>
    <r>
      <rPr>
        <b val="true"/>
        <sz val="10"/>
        <rFont val="Meiryo"/>
        <family val="0"/>
        <charset val="1"/>
      </rPr>
      <t xml:space="preserve">37.3%</t>
    </r>
  </si>
  <si>
    <r>
      <rPr>
        <sz val="10"/>
        <rFont val="WenQuanYi Zen Hei"/>
        <family val="2"/>
      </rPr>
      <t xml:space="preserve">スプレッドシート（直近</t>
    </r>
    <r>
      <rPr>
        <sz val="10"/>
        <rFont val="Meiryo"/>
        <family val="0"/>
        <charset val="1"/>
      </rPr>
      <t xml:space="preserve">2</t>
    </r>
    <r>
      <rPr>
        <sz val="10"/>
        <rFont val="WenQuanYi Zen Hei"/>
        <family val="2"/>
      </rPr>
      <t xml:space="preserve">年</t>
    </r>
    <r>
      <rPr>
        <sz val="10"/>
        <rFont val="Meiryo"/>
        <family val="0"/>
        <charset val="1"/>
      </rPr>
      <t xml:space="preserve">593</t>
    </r>
    <r>
      <rPr>
        <sz val="10"/>
        <rFont val="WenQuanYi Zen Hei"/>
        <family val="2"/>
      </rPr>
      <t xml:space="preserve">件）の実測成約率。成約件数 </t>
    </r>
    <r>
      <rPr>
        <sz val="10"/>
        <rFont val="Meiryo"/>
        <family val="0"/>
        <charset val="1"/>
      </rPr>
      <t xml:space="preserve">÷ </t>
    </r>
    <r>
      <rPr>
        <sz val="10"/>
        <rFont val="WenQuanYi Zen Hei"/>
        <family val="2"/>
      </rPr>
      <t xml:space="preserve">総商談件数</t>
    </r>
  </si>
  <si>
    <r>
      <rPr>
        <sz val="10"/>
        <rFont val="WenQuanYi Zen Hei"/>
        <family val="2"/>
      </rPr>
      <t xml:space="preserve">① ＋ ② ＋（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 </t>
    </r>
    <r>
      <rPr>
        <sz val="10"/>
        <rFont val="Meiryo"/>
        <family val="0"/>
        <charset val="1"/>
      </rPr>
      <t xml:space="preserve">× </t>
    </r>
    <r>
      <rPr>
        <sz val="10"/>
        <rFont val="WenQuanYi Zen Hei"/>
        <family val="2"/>
      </rPr>
      <t xml:space="preserve">想定転換率）</t>
    </r>
  </si>
  <si>
    <r>
      <rPr>
        <sz val="10"/>
        <rFont val="WenQuanYi Zen Hei"/>
        <family val="2"/>
      </rPr>
      <t xml:space="preserve">下期予算 </t>
    </r>
    <r>
      <rPr>
        <sz val="10"/>
        <rFont val="Meiryo"/>
        <family val="0"/>
        <charset val="1"/>
      </rPr>
      <t xml:space="preserve">÷ 6</t>
    </r>
    <r>
      <rPr>
        <sz val="10"/>
        <rFont val="WenQuanYi Zen Hei"/>
        <family val="2"/>
      </rPr>
      <t xml:space="preserve">ヶ月の均等割。実際の月次配分があれば月次シートで直接上書きする</t>
    </r>
  </si>
  <si>
    <t xml:space="preserve">■ 注意点</t>
  </si>
  <si>
    <r>
      <rPr>
        <b val="true"/>
        <sz val="10"/>
        <rFont val="WenQuanYi Zen Hei"/>
        <family val="2"/>
      </rPr>
      <t xml:space="preserve">下期予算 </t>
    </r>
    <r>
      <rPr>
        <b val="true"/>
        <sz val="10"/>
        <rFont val="Meiryo"/>
        <family val="0"/>
        <charset val="1"/>
      </rPr>
      <t xml:space="preserve">141,913</t>
    </r>
    <r>
      <rPr>
        <b val="true"/>
        <sz val="10"/>
        <rFont val="WenQuanYi Zen Hei"/>
        <family val="2"/>
      </rPr>
      <t xml:space="preserve">千円</t>
    </r>
  </si>
  <si>
    <r>
      <rPr>
        <sz val="10"/>
        <rFont val="Meiryo"/>
        <family val="0"/>
        <charset val="1"/>
      </rPr>
      <t xml:space="preserve">9/11</t>
    </r>
    <r>
      <rPr>
        <sz val="10"/>
        <rFont val="WenQuanYi Zen Hei"/>
        <family val="2"/>
      </rPr>
      <t xml:space="preserve">時点で使用した値。</t>
    </r>
    <r>
      <rPr>
        <sz val="10"/>
        <rFont val="Meiryo"/>
        <family val="0"/>
        <charset val="1"/>
      </rPr>
      <t xml:space="preserve">SF</t>
    </r>
    <r>
      <rPr>
        <sz val="10"/>
        <rFont val="WenQuanYi Zen Hei"/>
        <family val="2"/>
      </rPr>
      <t xml:space="preserve">の正式な下期予算と一致するか要確認。ここが変わると全部動く</t>
    </r>
  </si>
  <si>
    <t xml:space="preserve">金額未入力</t>
  </si>
  <si>
    <r>
      <rPr>
        <sz val="10"/>
        <rFont val="WenQuanYi Zen Hei"/>
        <family val="2"/>
      </rPr>
      <t xml:space="preserve">下期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</t>
    </r>
    <r>
      <rPr>
        <sz val="10"/>
        <rFont val="Meiryo"/>
        <family val="0"/>
        <charset val="1"/>
      </rPr>
      <t xml:space="preserve">113</t>
    </r>
    <r>
      <rPr>
        <sz val="10"/>
        <rFont val="WenQuanYi Zen Hei"/>
        <family val="2"/>
      </rPr>
      <t xml:space="preserve">件のうち</t>
    </r>
    <r>
      <rPr>
        <sz val="10"/>
        <rFont val="Meiryo"/>
        <family val="0"/>
        <charset val="1"/>
      </rPr>
      <t xml:space="preserve">34</t>
    </r>
    <r>
      <rPr>
        <sz val="10"/>
        <rFont val="WenQuanYi Zen Hei"/>
        <family val="2"/>
      </rPr>
      <t xml:space="preserve">件（</t>
    </r>
    <r>
      <rPr>
        <sz val="10"/>
        <rFont val="Meiryo"/>
        <family val="0"/>
        <charset val="1"/>
      </rPr>
      <t xml:space="preserve">30%</t>
    </r>
    <r>
      <rPr>
        <sz val="10"/>
        <rFont val="WenQuanYi Zen Hei"/>
        <family val="2"/>
      </rPr>
      <t xml:space="preserve">）が空欄。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</t>
    </r>
    <r>
      <rPr>
        <sz val="10"/>
        <rFont val="Meiryo"/>
        <family val="0"/>
        <charset val="1"/>
      </rPr>
      <t xml:space="preserve">183,799</t>
    </r>
    <r>
      <rPr>
        <sz val="10"/>
        <rFont val="WenQuanYi Zen Hei"/>
        <family val="2"/>
      </rPr>
      <t xml:space="preserve">千円は過小評価</t>
    </r>
  </si>
  <si>
    <r>
      <rPr>
        <b val="true"/>
        <sz val="10"/>
        <rFont val="Meiryo"/>
        <family val="0"/>
        <charset val="1"/>
      </rPr>
      <t xml:space="preserve">3</t>
    </r>
    <r>
      <rPr>
        <b val="true"/>
        <sz val="10"/>
        <rFont val="WenQuanYi Zen Hei"/>
        <family val="2"/>
      </rPr>
      <t xml:space="preserve">月への集中</t>
    </r>
  </si>
  <si>
    <r>
      <rPr>
        <sz val="10"/>
        <rFont val="WenQuanYi Zen Hei"/>
        <family val="2"/>
      </rPr>
      <t xml:space="preserve">下期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玉の</t>
    </r>
    <r>
      <rPr>
        <sz val="10"/>
        <rFont val="Meiryo"/>
        <family val="0"/>
        <charset val="1"/>
      </rPr>
      <t xml:space="preserve">65%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118,674</t>
    </r>
    <r>
      <rPr>
        <sz val="10"/>
        <rFont val="WenQuanYi Zen Hei"/>
        <family val="2"/>
      </rPr>
      <t xml:space="preserve">千円・</t>
    </r>
    <r>
      <rPr>
        <sz val="10"/>
        <rFont val="Meiryo"/>
        <family val="0"/>
        <charset val="1"/>
      </rPr>
      <t xml:space="preserve">52</t>
    </r>
    <r>
      <rPr>
        <sz val="10"/>
        <rFont val="WenQuanYi Zen Hei"/>
        <family val="2"/>
      </rPr>
      <t xml:space="preserve">件）が</t>
    </r>
    <r>
      <rPr>
        <sz val="10"/>
        <rFont val="Meiryo"/>
        <family val="0"/>
        <charset val="1"/>
      </rPr>
      <t xml:space="preserve">3</t>
    </r>
    <r>
      <rPr>
        <sz val="10"/>
        <rFont val="WenQuanYi Zen Hei"/>
        <family val="2"/>
      </rPr>
      <t xml:space="preserve">月完了予定。期末の検収・納期リスクが大きい</t>
    </r>
  </si>
  <si>
    <t xml:space="preserve">保有の偏り</t>
  </si>
  <si>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玉の</t>
    </r>
    <r>
      <rPr>
        <sz val="10"/>
        <rFont val="Meiryo"/>
        <family val="0"/>
        <charset val="1"/>
      </rPr>
      <t xml:space="preserve">81%</t>
    </r>
    <r>
      <rPr>
        <sz val="10"/>
        <rFont val="WenQuanYi Zen Hei"/>
        <family val="2"/>
      </rPr>
      <t xml:space="preserve">（</t>
    </r>
    <r>
      <rPr>
        <sz val="10"/>
        <rFont val="Meiryo"/>
        <family val="0"/>
        <charset val="1"/>
      </rPr>
      <t xml:space="preserve">62</t>
    </r>
    <r>
      <rPr>
        <sz val="10"/>
        <rFont val="WenQuanYi Zen Hei"/>
        <family val="2"/>
      </rPr>
      <t xml:space="preserve">件 </t>
    </r>
    <r>
      <rPr>
        <sz val="10"/>
        <rFont val="Meiryo"/>
        <family val="0"/>
        <charset val="1"/>
      </rPr>
      <t xml:space="preserve">148,987</t>
    </r>
    <r>
      <rPr>
        <sz val="10"/>
        <rFont val="WenQuanYi Zen Hei"/>
        <family val="2"/>
      </rPr>
      <t xml:space="preserve">千円）を片岡さんが保有</t>
    </r>
  </si>
  <si>
    <r>
      <rPr>
        <b val="true"/>
        <sz val="10"/>
        <rFont val="Meiryo"/>
        <family val="0"/>
        <charset val="1"/>
      </rPr>
      <t xml:space="preserve">11</t>
    </r>
    <r>
      <rPr>
        <b val="true"/>
        <sz val="10"/>
        <rFont val="WenQuanYi Zen Hei"/>
        <family val="2"/>
      </rPr>
      <t xml:space="preserve">月の薄さ</t>
    </r>
  </si>
  <si>
    <r>
      <rPr>
        <sz val="10"/>
        <rFont val="WenQuanYi Zen Hei"/>
        <family val="2"/>
      </rPr>
      <t xml:space="preserve">玉が</t>
    </r>
    <r>
      <rPr>
        <sz val="10"/>
        <rFont val="Meiryo"/>
        <family val="0"/>
        <charset val="1"/>
      </rPr>
      <t xml:space="preserve">9</t>
    </r>
    <r>
      <rPr>
        <sz val="10"/>
        <rFont val="WenQuanYi Zen Hei"/>
        <family val="2"/>
      </rPr>
      <t xml:space="preserve">件・</t>
    </r>
    <r>
      <rPr>
        <sz val="10"/>
        <rFont val="Meiryo"/>
        <family val="0"/>
        <charset val="1"/>
      </rPr>
      <t xml:space="preserve">9,820</t>
    </r>
    <r>
      <rPr>
        <sz val="10"/>
        <rFont val="WenQuanYi Zen Hei"/>
        <family val="2"/>
      </rPr>
      <t xml:space="preserve">千円しかない。</t>
    </r>
    <r>
      <rPr>
        <sz val="10"/>
        <rFont val="Meiryo"/>
        <family val="0"/>
        <charset val="1"/>
      </rPr>
      <t xml:space="preserve">AB</t>
    </r>
    <r>
      <rPr>
        <sz val="10"/>
        <rFont val="WenQuanYi Zen Hei"/>
        <family val="2"/>
      </rPr>
      <t xml:space="preserve">玉は阪急阪神不動産</t>
    </r>
    <r>
      <rPr>
        <sz val="10"/>
        <rFont val="Meiryo"/>
        <family val="0"/>
        <charset val="1"/>
      </rPr>
      <t xml:space="preserve">3,700</t>
    </r>
    <r>
      <rPr>
        <sz val="10"/>
        <rFont val="WenQuanYi Zen Hei"/>
        <family val="2"/>
      </rPr>
      <t xml:space="preserve">の</t>
    </r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件のみ</t>
    </r>
  </si>
  <si>
    <t xml:space="preserve">長期玉</t>
  </si>
  <si>
    <r>
      <rPr>
        <sz val="10"/>
        <rFont val="Meiryo"/>
        <family val="0"/>
        <charset val="1"/>
      </rPr>
      <t xml:space="preserve">1</t>
    </r>
    <r>
      <rPr>
        <sz val="10"/>
        <rFont val="WenQuanYi Zen Hei"/>
        <family val="2"/>
      </rPr>
      <t xml:space="preserve">件</t>
    </r>
    <r>
      <rPr>
        <sz val="10"/>
        <rFont val="Meiryo"/>
        <family val="0"/>
        <charset val="1"/>
      </rPr>
      <t xml:space="preserve">300</t>
    </r>
    <r>
      <rPr>
        <sz val="10"/>
        <rFont val="WenQuanYi Zen Hei"/>
        <family val="2"/>
      </rPr>
      <t xml:space="preserve">千円。</t>
    </r>
    <r>
      <rPr>
        <sz val="10"/>
        <rFont val="Meiryo"/>
        <family val="0"/>
        <charset val="1"/>
      </rPr>
      <t xml:space="preserve">CD</t>
    </r>
    <r>
      <rPr>
        <sz val="10"/>
        <rFont val="WenQuanYi Zen Hei"/>
        <family val="2"/>
      </rPr>
      <t xml:space="preserve">玉には含めていない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</si>
</sst>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#,##0"/>
    <numFmt numFmtId="167" formatCode="0.0%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D1F"/>
      <name val="WenQuanYi Zen Hei"/>
      <family val="2"/>
    </font>
    <font>
      <b val="true"/>
      <sz val="10"/>
      <name val="WenQuanYi Zen Hei"/>
      <family val="2"/>
    </font>
    <font>
      <sz val="10"/>
      <name val="WenQuanYi Zen Hei"/>
      <family val="2"/>
    </font>
    <font>
      <sz val="10"/>
      <name val="Meiryo"/>
      <family val="0"/>
      <charset val="1"/>
    </font>
    <font>
      <sz val="10"/>
      <color rgb="FF0000FF"/>
      <name val="Meiryo"/>
      <family val="0"/>
      <charset val="1"/>
    </font>
    <font>
      <sz val="9"/>
      <color rgb="FF767676"/>
      <name val="Meiryo"/>
      <family val="0"/>
      <charset val="1"/>
    </font>
    <font>
      <sz val="9"/>
      <color rgb="FF767676"/>
      <name val="WenQuanYi Zen Hei"/>
      <family val="2"/>
    </font>
    <font>
      <b val="true"/>
      <sz val="10"/>
      <name val="Meiryo"/>
      <family val="0"/>
      <charset val="1"/>
    </font>
    <font>
      <sz val="10"/>
      <color rgb="FF0000FF"/>
      <name val="WenQuanYi Zen Hei"/>
      <family val="2"/>
    </font>
    <font>
      <sz val="10"/>
      <color rgb="FF008000"/>
      <name val="WenQuanYi Zen Hei"/>
      <family val="2"/>
    </font>
    <font>
      <b val="true"/>
      <sz val="10"/>
      <color rgb="FFFFFFFF"/>
      <name val="WenQuanYi Zen Hei"/>
      <family val="2"/>
    </font>
    <font>
      <sz val="10"/>
      <color rgb="FF008000"/>
      <name val="Meiryo"/>
      <family val="0"/>
      <charset val="1"/>
    </font>
    <font>
      <b val="true"/>
      <sz val="10"/>
      <color rgb="FF000000"/>
      <name val="Meiryo"/>
      <family val="0"/>
      <charset val="1"/>
    </font>
    <font>
      <b val="true"/>
      <sz val="13"/>
      <color rgb="FF1F3D1F"/>
      <name val="Meiryo"/>
      <family val="0"/>
      <charset val="1"/>
    </font>
    <font>
      <b val="true"/>
      <sz val="10"/>
      <color rgb="FFFFFFFF"/>
      <name val="Meiryo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C5F2D"/>
        <bgColor rgb="FF1F3D1F"/>
      </patternFill>
    </fill>
    <fill>
      <patternFill patternType="solid">
        <fgColor rgb="FFEDF1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BE"/>
      </left>
      <right style="thin">
        <color rgb="FFC9D2BE"/>
      </right>
      <top style="thin">
        <color rgb="FFC9D2BE"/>
      </top>
      <bottom style="thin">
        <color rgb="FFC9D2B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9D2BE"/>
      <rgbColor rgb="FF767676"/>
      <rgbColor rgb="FF9999FF"/>
      <rgbColor rgb="FF993366"/>
      <rgbColor rgb="FFEDF1E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C5F2D"/>
      <rgbColor rgb="FF993300"/>
      <rgbColor rgb="FF993366"/>
      <rgbColor rgb="FF333399"/>
      <rgbColor rgb="FF1F3D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4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6" customFormat="false" ht="15" hidden="false" customHeight="false" outlineLevel="0" collapsed="false">
      <c r="A6" s="2" t="s">
        <v>7</v>
      </c>
    </row>
    <row r="7" customFormat="false" ht="15" hidden="false" customHeight="false" outlineLevel="0" collapsed="false">
      <c r="A7" s="2" t="s">
        <v>8</v>
      </c>
      <c r="B7" s="5" t="n">
        <v>141913</v>
      </c>
      <c r="C7" s="6" t="s">
        <v>9</v>
      </c>
    </row>
    <row r="8" customFormat="false" ht="15" hidden="false" customHeight="false" outlineLevel="0" collapsed="false">
      <c r="A8" s="2" t="s">
        <v>10</v>
      </c>
      <c r="B8" s="7" t="n">
        <v>6</v>
      </c>
      <c r="C8" s="6" t="s">
        <v>11</v>
      </c>
    </row>
    <row r="9" customFormat="false" ht="15" hidden="false" customHeight="false" outlineLevel="0" collapsed="false">
      <c r="A9" s="8" t="s">
        <v>12</v>
      </c>
      <c r="B9" s="9" t="n">
        <v>0.373</v>
      </c>
      <c r="C9" s="10" t="s">
        <v>13</v>
      </c>
    </row>
    <row r="10" customFormat="false" ht="15" hidden="false" customHeight="false" outlineLevel="0" collapsed="false">
      <c r="A10" s="8" t="s">
        <v>14</v>
      </c>
      <c r="B10" s="7" t="n">
        <v>34</v>
      </c>
      <c r="C10" s="10" t="s">
        <v>15</v>
      </c>
    </row>
    <row r="11" customFormat="false" ht="15" hidden="false" customHeight="false" outlineLevel="0" collapsed="false">
      <c r="A11" s="2" t="s">
        <v>16</v>
      </c>
      <c r="B11" s="11" t="n">
        <v>1000</v>
      </c>
      <c r="C11" s="10" t="s">
        <v>17</v>
      </c>
    </row>
    <row r="12" customFormat="false" ht="15" hidden="false" customHeight="false" outlineLevel="0" collapsed="false">
      <c r="A12" s="2" t="s">
        <v>18</v>
      </c>
      <c r="B12" s="11" t="n">
        <v>2327</v>
      </c>
      <c r="C12" s="10" t="s">
        <v>19</v>
      </c>
    </row>
    <row r="14" customFormat="false" ht="15" hidden="false" customHeight="false" outlineLevel="0" collapsed="false">
      <c r="A14" s="2" t="s">
        <v>20</v>
      </c>
      <c r="B14" s="12" t="n">
        <f aca="false">B7/B8</f>
        <v>23652.1666666667</v>
      </c>
      <c r="C14" s="10" t="s">
        <v>21</v>
      </c>
    </row>
    <row r="17" customFormat="false" ht="15" hidden="false" customHeight="false" outlineLevel="0" collapsed="false">
      <c r="A17" s="2" t="s">
        <v>22</v>
      </c>
    </row>
    <row r="18" customFormat="false" ht="15" hidden="false" customHeight="false" outlineLevel="0" collapsed="false">
      <c r="A18" s="13" t="s">
        <v>23</v>
      </c>
      <c r="B18" s="10" t="s">
        <v>24</v>
      </c>
    </row>
    <row r="19" customFormat="false" ht="15" hidden="false" customHeight="false" outlineLevel="0" collapsed="false">
      <c r="A19" s="3" t="s">
        <v>25</v>
      </c>
      <c r="B19" s="10" t="s">
        <v>26</v>
      </c>
    </row>
    <row r="20" customFormat="false" ht="15" hidden="false" customHeight="false" outlineLevel="0" collapsed="false">
      <c r="A20" s="14" t="s">
        <v>27</v>
      </c>
      <c r="B20" s="10" t="s">
        <v>28</v>
      </c>
    </row>
    <row r="21" customFormat="false" ht="15" hidden="false" customHeight="false" outlineLevel="0" collapsed="false">
      <c r="A21" s="15" t="s">
        <v>29</v>
      </c>
      <c r="B21" s="10" t="s">
        <v>30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6"/>
    <col collapsed="false" customWidth="true" hidden="false" outlineLevel="0" max="3" min="3" style="0" width="13"/>
    <col collapsed="false" customWidth="true" hidden="false" outlineLevel="0" max="4" min="4" style="0" width="52"/>
  </cols>
  <sheetData>
    <row r="1" customFormat="false" ht="16.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10" t="s">
        <v>32</v>
      </c>
    </row>
    <row r="4" customFormat="false" ht="15" hidden="false" customHeight="false" outlineLevel="0" collapsed="false">
      <c r="A4" s="8" t="s">
        <v>33</v>
      </c>
    </row>
    <row r="5" customFormat="false" ht="15" hidden="false" customHeight="false" outlineLevel="0" collapsed="false">
      <c r="A5" s="16" t="s">
        <v>34</v>
      </c>
      <c r="B5" s="16" t="s">
        <v>35</v>
      </c>
      <c r="C5" s="16" t="s">
        <v>36</v>
      </c>
      <c r="D5" s="16" t="s">
        <v>37</v>
      </c>
    </row>
    <row r="6" customFormat="false" ht="15" hidden="false" customHeight="false" outlineLevel="0" collapsed="false">
      <c r="A6" s="17" t="s">
        <v>38</v>
      </c>
      <c r="B6" s="18" t="n">
        <f aca="false">前提!B7</f>
        <v>141913</v>
      </c>
      <c r="C6" s="19" t="n">
        <f aca="false">B6/$B$6</f>
        <v>1</v>
      </c>
      <c r="D6" s="6" t="s">
        <v>39</v>
      </c>
    </row>
    <row r="7" customFormat="false" ht="15" hidden="false" customHeight="false" outlineLevel="0" collapsed="false">
      <c r="A7" s="17" t="s">
        <v>40</v>
      </c>
      <c r="B7" s="18" t="n">
        <f aca="false">月次!H7</f>
        <v>13111</v>
      </c>
      <c r="C7" s="19" t="n">
        <f aca="false">B7/$B$6</f>
        <v>0.0923875895795311</v>
      </c>
      <c r="D7" s="10" t="s">
        <v>41</v>
      </c>
    </row>
    <row r="8" customFormat="false" ht="15" hidden="false" customHeight="false" outlineLevel="0" collapsed="false">
      <c r="A8" s="20" t="s">
        <v>42</v>
      </c>
      <c r="B8" s="18" t="n">
        <f aca="false">月次!H8</f>
        <v>20739</v>
      </c>
      <c r="C8" s="19" t="n">
        <f aca="false">B8/$B$6</f>
        <v>0.146138831537632</v>
      </c>
      <c r="D8" s="10" t="s">
        <v>43</v>
      </c>
    </row>
    <row r="9" customFormat="false" ht="15" hidden="false" customHeight="false" outlineLevel="0" collapsed="false">
      <c r="A9" s="21" t="s">
        <v>44</v>
      </c>
      <c r="B9" s="22" t="n">
        <f aca="false">B7+B8</f>
        <v>33850</v>
      </c>
      <c r="C9" s="23" t="n">
        <f aca="false">B9/$B$6</f>
        <v>0.238526421117163</v>
      </c>
      <c r="D9" s="10" t="s">
        <v>45</v>
      </c>
    </row>
    <row r="10" customFormat="false" ht="15" hidden="false" customHeight="false" outlineLevel="0" collapsed="false">
      <c r="A10" s="24" t="s">
        <v>46</v>
      </c>
      <c r="B10" s="22" t="n">
        <f aca="false">B6-B9</f>
        <v>108063</v>
      </c>
      <c r="C10" s="23" t="n">
        <f aca="false">B10/$B$6</f>
        <v>0.761473578882837</v>
      </c>
      <c r="D10" s="10" t="s">
        <v>47</v>
      </c>
    </row>
    <row r="11" customFormat="false" ht="15" hidden="false" customHeight="false" outlineLevel="0" collapsed="false">
      <c r="A11" s="20" t="s">
        <v>48</v>
      </c>
      <c r="B11" s="18" t="n">
        <f aca="false">月次!H12</f>
        <v>183799</v>
      </c>
      <c r="C11" s="19" t="n">
        <f aca="false">B11/$B$6</f>
        <v>1.29515266395609</v>
      </c>
      <c r="D11" s="10" t="s">
        <v>49</v>
      </c>
    </row>
    <row r="14" customFormat="false" ht="15" hidden="false" customHeight="false" outlineLevel="0" collapsed="false">
      <c r="A14" s="8" t="s">
        <v>50</v>
      </c>
    </row>
    <row r="15" customFormat="false" ht="15" hidden="false" customHeight="false" outlineLevel="0" collapsed="false">
      <c r="A15" s="16" t="s">
        <v>34</v>
      </c>
      <c r="B15" s="16" t="s">
        <v>51</v>
      </c>
      <c r="C15" s="16"/>
      <c r="D15" s="16" t="s">
        <v>37</v>
      </c>
    </row>
    <row r="16" customFormat="false" ht="15" hidden="false" customHeight="false" outlineLevel="0" collapsed="false">
      <c r="A16" s="17" t="s">
        <v>52</v>
      </c>
      <c r="B16" s="12" t="n">
        <f aca="false">B10</f>
        <v>108063</v>
      </c>
      <c r="C16" s="17"/>
      <c r="D16" s="6" t="s">
        <v>53</v>
      </c>
    </row>
    <row r="17" customFormat="false" ht="15" hidden="false" customHeight="false" outlineLevel="0" collapsed="false">
      <c r="A17" s="20" t="s">
        <v>54</v>
      </c>
      <c r="B17" s="12" t="n">
        <f aca="false">B11</f>
        <v>183799</v>
      </c>
      <c r="C17" s="17"/>
      <c r="D17" s="6" t="s">
        <v>55</v>
      </c>
    </row>
    <row r="18" customFormat="false" ht="15" hidden="false" customHeight="false" outlineLevel="0" collapsed="false">
      <c r="A18" s="25" t="s">
        <v>56</v>
      </c>
      <c r="B18" s="26" t="n">
        <f aca="false">IFERROR(B16/B17,0)</f>
        <v>0.587941174870375</v>
      </c>
      <c r="C18" s="25"/>
      <c r="D18" s="10" t="s">
        <v>57</v>
      </c>
    </row>
    <row r="19" customFormat="false" ht="15" hidden="false" customHeight="false" outlineLevel="0" collapsed="false">
      <c r="A19" s="17" t="s">
        <v>58</v>
      </c>
      <c r="B19" s="27" t="n">
        <f aca="false">前提!B9</f>
        <v>0.373</v>
      </c>
      <c r="C19" s="17"/>
      <c r="D19" s="10" t="s">
        <v>59</v>
      </c>
    </row>
    <row r="20" customFormat="false" ht="15" hidden="false" customHeight="false" outlineLevel="0" collapsed="false">
      <c r="A20" s="17" t="s">
        <v>60</v>
      </c>
      <c r="B20" s="12" t="n">
        <f aca="false">B17*B19</f>
        <v>68557.027</v>
      </c>
      <c r="C20" s="17"/>
      <c r="D20" s="6" t="s">
        <v>61</v>
      </c>
    </row>
    <row r="21" customFormat="false" ht="15" hidden="false" customHeight="false" outlineLevel="0" collapsed="false">
      <c r="A21" s="25" t="s">
        <v>62</v>
      </c>
      <c r="B21" s="28" t="n">
        <f aca="false">B16-B20</f>
        <v>39505.973</v>
      </c>
      <c r="C21" s="25"/>
      <c r="D21" s="10" t="s">
        <v>63</v>
      </c>
    </row>
    <row r="24" customFormat="false" ht="15" hidden="false" customHeight="false" outlineLevel="0" collapsed="false">
      <c r="A24" s="8" t="s">
        <v>64</v>
      </c>
    </row>
    <row r="25" customFormat="false" ht="15" hidden="false" customHeight="false" outlineLevel="0" collapsed="false">
      <c r="A25" s="16" t="s">
        <v>34</v>
      </c>
      <c r="B25" s="16" t="s">
        <v>35</v>
      </c>
      <c r="C25" s="16" t="s">
        <v>36</v>
      </c>
      <c r="D25" s="16" t="s">
        <v>37</v>
      </c>
    </row>
    <row r="26" customFormat="false" ht="15" hidden="false" customHeight="false" outlineLevel="0" collapsed="false">
      <c r="A26" s="17" t="s">
        <v>65</v>
      </c>
      <c r="B26" s="12" t="n">
        <f aca="false">B7</f>
        <v>13111</v>
      </c>
      <c r="C26" s="19" t="n">
        <f aca="false">B26/$B$6</f>
        <v>0.0923875895795311</v>
      </c>
      <c r="D26" s="10" t="s">
        <v>66</v>
      </c>
    </row>
    <row r="27" customFormat="false" ht="15" hidden="false" customHeight="false" outlineLevel="0" collapsed="false">
      <c r="A27" s="20" t="s">
        <v>42</v>
      </c>
      <c r="B27" s="12" t="n">
        <f aca="false">B8</f>
        <v>20739</v>
      </c>
      <c r="C27" s="19" t="n">
        <f aca="false">B27/$B$6</f>
        <v>0.146138831537632</v>
      </c>
      <c r="D27" s="10" t="s">
        <v>67</v>
      </c>
    </row>
    <row r="28" customFormat="false" ht="15" hidden="false" customHeight="false" outlineLevel="0" collapsed="false">
      <c r="A28" s="20" t="s">
        <v>68</v>
      </c>
      <c r="B28" s="12" t="n">
        <f aca="false">B20</f>
        <v>68557.027</v>
      </c>
      <c r="C28" s="19" t="n">
        <f aca="false">B28/$B$6</f>
        <v>0.48309194365562</v>
      </c>
      <c r="D28" s="6" t="s">
        <v>61</v>
      </c>
    </row>
    <row r="29" customFormat="false" ht="15" hidden="false" customHeight="false" outlineLevel="0" collapsed="false">
      <c r="A29" s="24" t="s">
        <v>69</v>
      </c>
      <c r="B29" s="22" t="n">
        <f aca="false">SUM(B26:B28)</f>
        <v>102407.027</v>
      </c>
      <c r="C29" s="23" t="n">
        <f aca="false">B29/$B$6</f>
        <v>0.721618364772783</v>
      </c>
      <c r="D29" s="10" t="s">
        <v>70</v>
      </c>
    </row>
    <row r="30" customFormat="false" ht="15" hidden="false" customHeight="false" outlineLevel="0" collapsed="false">
      <c r="A30" s="24" t="s">
        <v>71</v>
      </c>
      <c r="B30" s="22" t="n">
        <f aca="false">B6-B29</f>
        <v>39505.973</v>
      </c>
      <c r="C30" s="23" t="n">
        <f aca="false">B30/$B$6</f>
        <v>0.278381635227217</v>
      </c>
      <c r="D30" s="10" t="s">
        <v>72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3"/>
  </cols>
  <sheetData>
    <row r="1" customFormat="false" ht="17.15" hidden="false" customHeight="false" outlineLevel="0" collapsed="false">
      <c r="A1" s="1" t="s">
        <v>73</v>
      </c>
    </row>
    <row r="2" customFormat="false" ht="15" hidden="false" customHeight="false" outlineLevel="0" collapsed="false">
      <c r="A2" s="10" t="s">
        <v>74</v>
      </c>
    </row>
    <row r="4" customFormat="false" ht="15" hidden="false" customHeight="false" outlineLevel="0" collapsed="false">
      <c r="A4" s="16" t="s">
        <v>34</v>
      </c>
      <c r="B4" s="29" t="s">
        <v>75</v>
      </c>
      <c r="C4" s="29" t="s">
        <v>76</v>
      </c>
      <c r="D4" s="29" t="s">
        <v>77</v>
      </c>
      <c r="E4" s="29" t="s">
        <v>78</v>
      </c>
      <c r="F4" s="29" t="s">
        <v>79</v>
      </c>
      <c r="G4" s="29" t="s">
        <v>80</v>
      </c>
      <c r="H4" s="16" t="s">
        <v>81</v>
      </c>
    </row>
    <row r="5" customFormat="false" ht="15" hidden="false" customHeight="false" outlineLevel="0" collapsed="false">
      <c r="A5" s="17" t="s">
        <v>82</v>
      </c>
      <c r="B5" s="7" t="n">
        <v>32</v>
      </c>
      <c r="C5" s="7" t="n">
        <v>9</v>
      </c>
      <c r="D5" s="7" t="n">
        <v>32</v>
      </c>
      <c r="E5" s="7" t="n">
        <v>4</v>
      </c>
      <c r="F5" s="7" t="n">
        <v>5</v>
      </c>
      <c r="G5" s="7" t="n">
        <v>52</v>
      </c>
      <c r="H5" s="30" t="n">
        <f aca="false">SUM(B5:G5)</f>
        <v>134</v>
      </c>
    </row>
    <row r="6" customFormat="false" ht="15" hidden="false" customHeight="false" outlineLevel="0" collapsed="false">
      <c r="A6" s="17" t="s">
        <v>83</v>
      </c>
      <c r="B6" s="12" t="n">
        <f aca="false">前提!$B$7/前提!$B$8</f>
        <v>23652.1666666667</v>
      </c>
      <c r="C6" s="12" t="n">
        <f aca="false">前提!$B$7/前提!$B$8</f>
        <v>23652.1666666667</v>
      </c>
      <c r="D6" s="12" t="n">
        <f aca="false">前提!$B$7/前提!$B$8</f>
        <v>23652.1666666667</v>
      </c>
      <c r="E6" s="12" t="n">
        <f aca="false">前提!$B$7/前提!$B$8</f>
        <v>23652.1666666667</v>
      </c>
      <c r="F6" s="12" t="n">
        <f aca="false">前提!$B$7/前提!$B$8</f>
        <v>23652.1666666667</v>
      </c>
      <c r="G6" s="12" t="n">
        <f aca="false">前提!$B$7/前提!$B$8</f>
        <v>23652.1666666667</v>
      </c>
      <c r="H6" s="31" t="n">
        <f aca="false">SUM(B6:G6)</f>
        <v>141913</v>
      </c>
    </row>
    <row r="7" customFormat="false" ht="15" hidden="false" customHeight="false" outlineLevel="0" collapsed="false">
      <c r="A7" s="17" t="s">
        <v>84</v>
      </c>
      <c r="B7" s="11" t="n">
        <v>9471</v>
      </c>
      <c r="C7" s="11" t="n">
        <v>0</v>
      </c>
      <c r="D7" s="11" t="n">
        <v>3640</v>
      </c>
      <c r="E7" s="11" t="n">
        <v>0</v>
      </c>
      <c r="F7" s="11" t="n">
        <v>0</v>
      </c>
      <c r="G7" s="11" t="n">
        <v>0</v>
      </c>
      <c r="H7" s="31" t="n">
        <f aca="false">SUM(B7:G7)</f>
        <v>13111</v>
      </c>
    </row>
    <row r="8" customFormat="false" ht="15" hidden="false" customHeight="false" outlineLevel="0" collapsed="false">
      <c r="A8" s="20" t="s">
        <v>85</v>
      </c>
      <c r="B8" s="11" t="n">
        <v>10805</v>
      </c>
      <c r="C8" s="11" t="n">
        <v>3700</v>
      </c>
      <c r="D8" s="11" t="n">
        <v>5106</v>
      </c>
      <c r="E8" s="11" t="n">
        <v>0</v>
      </c>
      <c r="F8" s="11" t="n">
        <v>0</v>
      </c>
      <c r="G8" s="11" t="n">
        <v>1128</v>
      </c>
      <c r="H8" s="31" t="n">
        <f aca="false">SUM(B8:G8)</f>
        <v>20739</v>
      </c>
    </row>
    <row r="9" customFormat="false" ht="15" hidden="false" customHeight="false" outlineLevel="0" collapsed="false">
      <c r="A9" s="21" t="s">
        <v>44</v>
      </c>
      <c r="B9" s="22" t="n">
        <f aca="false">B7+B8</f>
        <v>20276</v>
      </c>
      <c r="C9" s="22" t="n">
        <f aca="false">C7+C8</f>
        <v>3700</v>
      </c>
      <c r="D9" s="22" t="n">
        <f aca="false">D7+D8</f>
        <v>8746</v>
      </c>
      <c r="E9" s="22" t="n">
        <f aca="false">E7+E8</f>
        <v>0</v>
      </c>
      <c r="F9" s="22" t="n">
        <f aca="false">F7+F8</f>
        <v>0</v>
      </c>
      <c r="G9" s="22" t="n">
        <f aca="false">G7+G8</f>
        <v>1128</v>
      </c>
      <c r="H9" s="32" t="n">
        <f aca="false">SUM(B9:G9)</f>
        <v>33850</v>
      </c>
    </row>
    <row r="10" customFormat="false" ht="15" hidden="false" customHeight="false" outlineLevel="0" collapsed="false">
      <c r="A10" s="24" t="s">
        <v>86</v>
      </c>
      <c r="B10" s="33" t="n">
        <f aca="false">IFERROR(B9/B6,"")</f>
        <v>0.857257615581377</v>
      </c>
      <c r="C10" s="33" t="n">
        <f aca="false">IFERROR(C9/C6,"")</f>
        <v>0.156433871456456</v>
      </c>
      <c r="D10" s="33" t="n">
        <f aca="false">IFERROR(D9/D6,"")</f>
        <v>0.369775848583287</v>
      </c>
      <c r="E10" s="33" t="n">
        <f aca="false">IFERROR(E9/E6,"")</f>
        <v>0</v>
      </c>
      <c r="F10" s="33" t="n">
        <f aca="false">IFERROR(F9/F6,"")</f>
        <v>0</v>
      </c>
      <c r="G10" s="33" t="n">
        <f aca="false">IFERROR(G9/G6,"")</f>
        <v>0.04769119108186</v>
      </c>
      <c r="H10" s="23" t="n">
        <f aca="false">IFERROR(H9/H6,"")</f>
        <v>0.238526421117163</v>
      </c>
    </row>
    <row r="11" customFormat="false" ht="15" hidden="false" customHeight="false" outlineLevel="0" collapsed="false">
      <c r="A11" s="17" t="s">
        <v>87</v>
      </c>
      <c r="B11" s="12" t="n">
        <f aca="false">B6-B9</f>
        <v>3376.16666666667</v>
      </c>
      <c r="C11" s="12" t="n">
        <f aca="false">C6-C9</f>
        <v>19952.1666666667</v>
      </c>
      <c r="D11" s="12" t="n">
        <f aca="false">D6-D9</f>
        <v>14906.1666666667</v>
      </c>
      <c r="E11" s="12" t="n">
        <f aca="false">E6-E9</f>
        <v>23652.1666666667</v>
      </c>
      <c r="F11" s="12" t="n">
        <f aca="false">F6-F9</f>
        <v>23652.1666666667</v>
      </c>
      <c r="G11" s="12" t="n">
        <f aca="false">G6-G9</f>
        <v>22524.1666666667</v>
      </c>
      <c r="H11" s="31" t="n">
        <f aca="false">SUM(B11:G11)</f>
        <v>108063</v>
      </c>
    </row>
    <row r="12" customFormat="false" ht="15" hidden="false" customHeight="false" outlineLevel="0" collapsed="false">
      <c r="A12" s="20" t="s">
        <v>88</v>
      </c>
      <c r="B12" s="11" t="n">
        <v>16847</v>
      </c>
      <c r="C12" s="11" t="n">
        <v>6120</v>
      </c>
      <c r="D12" s="11" t="n">
        <v>35500</v>
      </c>
      <c r="E12" s="11" t="n">
        <v>3708</v>
      </c>
      <c r="F12" s="11" t="n">
        <v>2950</v>
      </c>
      <c r="G12" s="11" t="n">
        <v>118674</v>
      </c>
      <c r="H12" s="31" t="n">
        <f aca="false">SUM(B12:G12)</f>
        <v>183799</v>
      </c>
    </row>
    <row r="13" customFormat="false" ht="15" hidden="false" customHeight="false" outlineLevel="0" collapsed="false">
      <c r="A13" s="25" t="s">
        <v>89</v>
      </c>
      <c r="B13" s="26" t="n">
        <f aca="false">IFERROR(B11/B12,"")</f>
        <v>0.20040165410261</v>
      </c>
      <c r="C13" s="26" t="n">
        <f aca="false">IFERROR(C11/C12,"")</f>
        <v>3.26015795206972</v>
      </c>
      <c r="D13" s="26" t="n">
        <f aca="false">IFERROR(D11/D12,"")</f>
        <v>0.419892018779343</v>
      </c>
      <c r="E13" s="26" t="n">
        <f aca="false">IFERROR(E11/E12,"")</f>
        <v>6.37868572455951</v>
      </c>
      <c r="F13" s="26" t="n">
        <f aca="false">IFERROR(F11/F12,"")</f>
        <v>8.01768361581921</v>
      </c>
      <c r="G13" s="26" t="n">
        <f aca="false">IFERROR(G11/G12,"")</f>
        <v>0.189798664127498</v>
      </c>
      <c r="H13" s="34" t="n">
        <f aca="false">IFERROR(H11/H12,"")</f>
        <v>0.587941174870375</v>
      </c>
    </row>
    <row r="14" customFormat="false" ht="15" hidden="false" customHeight="false" outlineLevel="0" collapsed="false">
      <c r="A14" s="20" t="s">
        <v>90</v>
      </c>
      <c r="B14" s="12" t="n">
        <f aca="false">B12*前提!$B$9</f>
        <v>6283.931</v>
      </c>
      <c r="C14" s="12" t="n">
        <f aca="false">C12*前提!$B$9</f>
        <v>2282.76</v>
      </c>
      <c r="D14" s="12" t="n">
        <f aca="false">D12*前提!$B$9</f>
        <v>13241.5</v>
      </c>
      <c r="E14" s="12" t="n">
        <f aca="false">E12*前提!$B$9</f>
        <v>1383.084</v>
      </c>
      <c r="F14" s="12" t="n">
        <f aca="false">F12*前提!$B$9</f>
        <v>1100.35</v>
      </c>
      <c r="G14" s="12" t="n">
        <f aca="false">G12*前提!$B$9</f>
        <v>44265.402</v>
      </c>
      <c r="H14" s="31" t="n">
        <f aca="false">SUM(B14:G14)</f>
        <v>68557.027</v>
      </c>
    </row>
    <row r="15" customFormat="false" ht="15" hidden="false" customHeight="false" outlineLevel="0" collapsed="false">
      <c r="A15" s="24" t="s">
        <v>91</v>
      </c>
      <c r="B15" s="22" t="n">
        <f aca="false">B9+B14</f>
        <v>26559.931</v>
      </c>
      <c r="C15" s="22" t="n">
        <f aca="false">C9+C14</f>
        <v>5982.76</v>
      </c>
      <c r="D15" s="22" t="n">
        <f aca="false">D9+D14</f>
        <v>21987.5</v>
      </c>
      <c r="E15" s="22" t="n">
        <f aca="false">E9+E14</f>
        <v>1383.084</v>
      </c>
      <c r="F15" s="22" t="n">
        <f aca="false">F9+F14</f>
        <v>1100.35</v>
      </c>
      <c r="G15" s="22" t="n">
        <f aca="false">G9+G14</f>
        <v>45393.402</v>
      </c>
      <c r="H15" s="32" t="n">
        <f aca="false">SUM(B15:G15)</f>
        <v>102407.027</v>
      </c>
    </row>
    <row r="16" customFormat="false" ht="15" hidden="false" customHeight="false" outlineLevel="0" collapsed="false">
      <c r="A16" s="24" t="s">
        <v>92</v>
      </c>
      <c r="B16" s="33" t="n">
        <f aca="false">IFERROR(B15/B6,"")</f>
        <v>1.12293860322874</v>
      </c>
      <c r="C16" s="33" t="n">
        <f aca="false">IFERROR(C15/C6,"")</f>
        <v>0.252947651025628</v>
      </c>
      <c r="D16" s="33" t="n">
        <f aca="false">IFERROR(D15/D6,"")</f>
        <v>0.929618850986168</v>
      </c>
      <c r="E16" s="33" t="n">
        <f aca="false">IFERROR(E15/E6,"")</f>
        <v>0.0584759958566164</v>
      </c>
      <c r="F16" s="33" t="n">
        <f aca="false">IFERROR(F15/F6,"")</f>
        <v>0.0465221649884084</v>
      </c>
      <c r="G16" s="33" t="n">
        <f aca="false">IFERROR(G15/G6,"")</f>
        <v>1.91920692255114</v>
      </c>
      <c r="H16" s="23" t="n">
        <f aca="false">IFERROR(H15/H6,"")</f>
        <v>0.721618364772783</v>
      </c>
    </row>
    <row r="17" customFormat="false" ht="15" hidden="false" customHeight="false" outlineLevel="0" collapsed="false">
      <c r="A17" s="25" t="s">
        <v>93</v>
      </c>
      <c r="B17" s="28" t="n">
        <f aca="false">B15-B6</f>
        <v>2907.76433333333</v>
      </c>
      <c r="C17" s="28" t="n">
        <f aca="false">C15-C6</f>
        <v>-17669.4066666667</v>
      </c>
      <c r="D17" s="28" t="n">
        <f aca="false">D15-D6</f>
        <v>-1664.66666666667</v>
      </c>
      <c r="E17" s="28" t="n">
        <f aca="false">E15-E6</f>
        <v>-22269.0826666667</v>
      </c>
      <c r="F17" s="28" t="n">
        <f aca="false">F15-F6</f>
        <v>-22551.8166666667</v>
      </c>
      <c r="G17" s="28" t="n">
        <f aca="false">G15-G6</f>
        <v>21741.2353333333</v>
      </c>
      <c r="H17" s="31" t="n">
        <f aca="false">SUM(B17:G17)</f>
        <v>-39505.973</v>
      </c>
    </row>
    <row r="19" customFormat="false" ht="15" hidden="false" customHeight="false" outlineLevel="0" collapsed="false">
      <c r="A19" s="17" t="s">
        <v>94</v>
      </c>
      <c r="B19" s="7" t="n">
        <v>6</v>
      </c>
      <c r="C19" s="7" t="n">
        <v>3</v>
      </c>
      <c r="D19" s="7" t="n">
        <v>6</v>
      </c>
      <c r="E19" s="7" t="n">
        <v>1</v>
      </c>
      <c r="F19" s="7" t="n">
        <v>2</v>
      </c>
      <c r="G19" s="7" t="n">
        <v>17</v>
      </c>
      <c r="H19" s="30" t="n">
        <f aca="false">SUM(B19:G19)</f>
        <v>35</v>
      </c>
    </row>
    <row r="20" customFormat="false" ht="15" hidden="false" customHeight="false" outlineLevel="0" collapsed="false">
      <c r="A20" s="17" t="s">
        <v>95</v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300</v>
      </c>
      <c r="H20" s="31" t="n">
        <f aca="false">SUM(B20:G20)</f>
        <v>300</v>
      </c>
    </row>
    <row r="22" customFormat="false" ht="15" hidden="false" customHeight="false" outlineLevel="0" collapsed="false">
      <c r="A22" s="10" t="s">
        <v>96</v>
      </c>
    </row>
    <row r="23" customFormat="false" ht="15" hidden="false" customHeight="false" outlineLevel="0" collapsed="false">
      <c r="A23" s="10" t="s">
        <v>97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6"/>
    <col collapsed="false" customWidth="true" hidden="false" outlineLevel="0" max="5" min="5" style="0" width="40"/>
  </cols>
  <sheetData>
    <row r="1" customFormat="false" ht="17.15" hidden="false" customHeight="false" outlineLevel="0" collapsed="false">
      <c r="A1" s="35" t="s">
        <v>98</v>
      </c>
    </row>
    <row r="2" customFormat="false" ht="15" hidden="false" customHeight="false" outlineLevel="0" collapsed="false">
      <c r="A2" s="10" t="s">
        <v>99</v>
      </c>
    </row>
    <row r="4" customFormat="false" ht="15" hidden="false" customHeight="false" outlineLevel="0" collapsed="false">
      <c r="A4" s="16" t="s">
        <v>34</v>
      </c>
      <c r="B4" s="16" t="s">
        <v>100</v>
      </c>
      <c r="C4" s="16" t="s">
        <v>101</v>
      </c>
      <c r="D4" s="16" t="s">
        <v>102</v>
      </c>
      <c r="E4" s="16" t="s">
        <v>37</v>
      </c>
    </row>
    <row r="5" customFormat="false" ht="15" hidden="false" customHeight="false" outlineLevel="0" collapsed="false">
      <c r="A5" s="20" t="s">
        <v>103</v>
      </c>
      <c r="B5" s="12" t="n">
        <f aca="false">下期サマリ!B11</f>
        <v>183799</v>
      </c>
      <c r="C5" s="12" t="n">
        <f aca="false">B5+前提!$B$10*前提!$B$11</f>
        <v>217799</v>
      </c>
      <c r="D5" s="12" t="n">
        <f aca="false">B5+前提!$B$10*前提!$B$12</f>
        <v>262917</v>
      </c>
      <c r="E5" s="10" t="s">
        <v>104</v>
      </c>
    </row>
    <row r="6" customFormat="false" ht="15" hidden="false" customHeight="false" outlineLevel="0" collapsed="false">
      <c r="A6" s="24" t="s">
        <v>56</v>
      </c>
      <c r="B6" s="23" t="n">
        <f aca="false">IFERROR(下期サマリ!$B$16/B5,0)</f>
        <v>0.587941174870375</v>
      </c>
      <c r="C6" s="23" t="n">
        <f aca="false">IFERROR(下期サマリ!$B$16/C5,0)</f>
        <v>0.496159302843447</v>
      </c>
      <c r="D6" s="23" t="n">
        <f aca="false">IFERROR(下期サマリ!$B$16/D5,0)</f>
        <v>0.411015643720262</v>
      </c>
      <c r="E6" s="10" t="s">
        <v>105</v>
      </c>
    </row>
    <row r="7" customFormat="false" ht="15" hidden="false" customHeight="false" outlineLevel="0" collapsed="false">
      <c r="A7" s="17" t="s">
        <v>60</v>
      </c>
      <c r="B7" s="12" t="n">
        <f aca="false">B5*前提!$B$9</f>
        <v>68557.027</v>
      </c>
      <c r="C7" s="12" t="n">
        <f aca="false">C5*前提!$B$9</f>
        <v>81239.027</v>
      </c>
      <c r="D7" s="12" t="n">
        <f aca="false">D5*前提!$B$9</f>
        <v>98068.041</v>
      </c>
      <c r="E7" s="6" t="s">
        <v>61</v>
      </c>
    </row>
    <row r="8" customFormat="false" ht="15" hidden="false" customHeight="false" outlineLevel="0" collapsed="false">
      <c r="A8" s="24" t="s">
        <v>69</v>
      </c>
      <c r="B8" s="32" t="n">
        <f aca="false">下期サマリ!$B$9+B7</f>
        <v>102407.027</v>
      </c>
      <c r="C8" s="32" t="n">
        <f aca="false">下期サマリ!$B$9+C7</f>
        <v>115089.027</v>
      </c>
      <c r="D8" s="32" t="n">
        <f aca="false">下期サマリ!$B$9+D7</f>
        <v>131918.041</v>
      </c>
      <c r="E8" s="6" t="s">
        <v>106</v>
      </c>
    </row>
    <row r="9" customFormat="false" ht="15" hidden="false" customHeight="false" outlineLevel="0" collapsed="false">
      <c r="A9" s="24" t="s">
        <v>92</v>
      </c>
      <c r="B9" s="23" t="n">
        <f aca="false">IFERROR(B8/下期サマリ!$B$6,0)</f>
        <v>0.721618364772783</v>
      </c>
      <c r="C9" s="23" t="n">
        <f aca="false">IFERROR(C8/下期サマリ!$B$6,0)</f>
        <v>0.81098297548498</v>
      </c>
      <c r="D9" s="23" t="n">
        <f aca="false">IFERROR(D8/下期サマリ!$B$6,0)</f>
        <v>0.929569813900066</v>
      </c>
      <c r="E9" s="10" t="s">
        <v>107</v>
      </c>
    </row>
    <row r="10" customFormat="false" ht="15" hidden="false" customHeight="false" outlineLevel="0" collapsed="false">
      <c r="A10" s="24" t="s">
        <v>62</v>
      </c>
      <c r="B10" s="32" t="n">
        <f aca="false">下期サマリ!$B$6-B8</f>
        <v>39505.973</v>
      </c>
      <c r="C10" s="32" t="n">
        <f aca="false">下期サマリ!$B$6-C8</f>
        <v>26823.973</v>
      </c>
      <c r="D10" s="32" t="n">
        <f aca="false">下期サマリ!$B$6-D8</f>
        <v>9994.959</v>
      </c>
      <c r="E10" s="10" t="s">
        <v>72</v>
      </c>
    </row>
    <row r="12" customFormat="false" ht="15" hidden="false" customHeight="false" outlineLevel="0" collapsed="false">
      <c r="A12" s="10" t="s">
        <v>108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5"/>
  </cols>
  <sheetData>
    <row r="1" customFormat="false" ht="16.15" hidden="false" customHeight="false" outlineLevel="0" collapsed="false">
      <c r="A1" s="1" t="s">
        <v>109</v>
      </c>
    </row>
    <row r="3" customFormat="false" ht="15" hidden="false" customHeight="false" outlineLevel="0" collapsed="false">
      <c r="A3" s="2" t="s">
        <v>110</v>
      </c>
      <c r="B3" s="3"/>
    </row>
    <row r="4" customFormat="false" ht="15" hidden="false" customHeight="false" outlineLevel="0" collapsed="false">
      <c r="A4" s="2" t="s">
        <v>111</v>
      </c>
      <c r="B4" s="3" t="s">
        <v>112</v>
      </c>
    </row>
    <row r="5" customFormat="false" ht="15" hidden="false" customHeight="false" outlineLevel="0" collapsed="false">
      <c r="A5" s="2" t="s">
        <v>113</v>
      </c>
      <c r="B5" s="3" t="s">
        <v>114</v>
      </c>
    </row>
    <row r="6" customFormat="false" ht="15" hidden="false" customHeight="false" outlineLevel="0" collapsed="false">
      <c r="A6" s="2" t="s">
        <v>115</v>
      </c>
      <c r="B6" s="3" t="s">
        <v>116</v>
      </c>
    </row>
    <row r="7" customFormat="false" ht="15" hidden="false" customHeight="false" outlineLevel="0" collapsed="false">
      <c r="A7" s="2" t="s">
        <v>117</v>
      </c>
      <c r="B7" s="4" t="s">
        <v>4</v>
      </c>
    </row>
    <row r="8" customFormat="false" ht="15" hidden="false" customHeight="false" outlineLevel="0" collapsed="false">
      <c r="A8" s="2" t="s">
        <v>118</v>
      </c>
      <c r="B8" s="4" t="s">
        <v>119</v>
      </c>
    </row>
    <row r="9" customFormat="false" ht="15" hidden="false" customHeight="false" outlineLevel="0" collapsed="false">
      <c r="A9" s="3"/>
      <c r="B9" s="3"/>
    </row>
    <row r="10" customFormat="false" ht="15" hidden="false" customHeight="false" outlineLevel="0" collapsed="false">
      <c r="A10" s="2" t="s">
        <v>120</v>
      </c>
      <c r="B10" s="3"/>
    </row>
    <row r="11" customFormat="false" ht="15" hidden="false" customHeight="false" outlineLevel="0" collapsed="false">
      <c r="A11" s="2" t="s">
        <v>65</v>
      </c>
      <c r="B11" s="3" t="s">
        <v>121</v>
      </c>
    </row>
    <row r="12" customFormat="false" ht="14.15" hidden="false" customHeight="false" outlineLevel="0" collapsed="false">
      <c r="A12" s="8" t="s">
        <v>122</v>
      </c>
      <c r="B12" s="3" t="s">
        <v>123</v>
      </c>
    </row>
    <row r="13" customFormat="false" ht="14.15" hidden="false" customHeight="false" outlineLevel="0" collapsed="false">
      <c r="A13" s="8" t="s">
        <v>124</v>
      </c>
      <c r="B13" s="3" t="s">
        <v>125</v>
      </c>
    </row>
    <row r="14" customFormat="false" ht="15" hidden="false" customHeight="false" outlineLevel="0" collapsed="false">
      <c r="A14" s="8" t="s">
        <v>126</v>
      </c>
      <c r="B14" s="3" t="s">
        <v>127</v>
      </c>
    </row>
    <row r="15" customFormat="false" ht="15" hidden="false" customHeight="false" outlineLevel="0" collapsed="false">
      <c r="A15" s="2" t="s">
        <v>52</v>
      </c>
      <c r="B15" s="3" t="s">
        <v>128</v>
      </c>
    </row>
    <row r="16" customFormat="false" ht="15" hidden="false" customHeight="false" outlineLevel="0" collapsed="false">
      <c r="A16" s="2" t="s">
        <v>56</v>
      </c>
      <c r="B16" s="3" t="s">
        <v>129</v>
      </c>
    </row>
    <row r="17" customFormat="false" ht="14.15" hidden="false" customHeight="false" outlineLevel="0" collapsed="false">
      <c r="A17" s="2" t="s">
        <v>130</v>
      </c>
      <c r="B17" s="3" t="s">
        <v>131</v>
      </c>
    </row>
    <row r="18" customFormat="false" ht="15" hidden="false" customHeight="false" outlineLevel="0" collapsed="false">
      <c r="A18" s="2" t="s">
        <v>69</v>
      </c>
      <c r="B18" s="3" t="s">
        <v>132</v>
      </c>
    </row>
    <row r="19" customFormat="false" ht="15" hidden="false" customHeight="false" outlineLevel="0" collapsed="false">
      <c r="A19" s="2" t="s">
        <v>83</v>
      </c>
      <c r="B19" s="3" t="s">
        <v>133</v>
      </c>
    </row>
    <row r="20" customFormat="false" ht="15" hidden="false" customHeight="false" outlineLevel="0" collapsed="false">
      <c r="A20" s="3"/>
      <c r="B20" s="3"/>
    </row>
    <row r="21" customFormat="false" ht="15" hidden="false" customHeight="false" outlineLevel="0" collapsed="false">
      <c r="A21" s="2" t="s">
        <v>134</v>
      </c>
      <c r="B21" s="3"/>
    </row>
    <row r="22" customFormat="false" ht="14.15" hidden="false" customHeight="false" outlineLevel="0" collapsed="false">
      <c r="A22" s="2" t="s">
        <v>135</v>
      </c>
      <c r="B22" s="4" t="s">
        <v>136</v>
      </c>
    </row>
    <row r="23" customFormat="false" ht="15" hidden="false" customHeight="false" outlineLevel="0" collapsed="false">
      <c r="A23" s="2" t="s">
        <v>137</v>
      </c>
      <c r="B23" s="3" t="s">
        <v>138</v>
      </c>
    </row>
    <row r="24" customFormat="false" ht="14.15" hidden="false" customHeight="false" outlineLevel="0" collapsed="false">
      <c r="A24" s="8" t="s">
        <v>139</v>
      </c>
      <c r="B24" s="3" t="s">
        <v>140</v>
      </c>
    </row>
    <row r="25" customFormat="false" ht="15" hidden="false" customHeight="false" outlineLevel="0" collapsed="false">
      <c r="A25" s="2" t="s">
        <v>141</v>
      </c>
      <c r="B25" s="4" t="s">
        <v>142</v>
      </c>
    </row>
    <row r="26" customFormat="false" ht="14.15" hidden="false" customHeight="false" outlineLevel="0" collapsed="false">
      <c r="A26" s="8" t="s">
        <v>143</v>
      </c>
      <c r="B26" s="3" t="s">
        <v>144</v>
      </c>
    </row>
    <row r="27" customFormat="false" ht="15" hidden="false" customHeight="false" outlineLevel="0" collapsed="false">
      <c r="A27" s="2" t="s">
        <v>145</v>
      </c>
      <c r="B27" s="4" t="s">
        <v>146</v>
      </c>
    </row>
  </sheetData>
  <printOptions headings="false" gridLines="false" gridLinesSet="true" horizontalCentered="fals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2026-10-05T05:01:17Z</dcterms:created>
  <dc:creator>openpyxl</dc:creator>
  <dc:description/>
  <dc:language>en-US</dc:language>
  <cp:lastModifiedBy/>
  <dcterms:modified xsi:type="dcterms:W3CDTF">2026-10-05T05:01:17Z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