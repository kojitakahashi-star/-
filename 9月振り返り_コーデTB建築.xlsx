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月サマリー" sheetId="1" state="visible" r:id="rId3"/>
    <sheet name="Sheet" sheetId="2" state="visible" r:id="rId4"/>
    <sheet name="AB玉 増減明細" sheetId="3" state="visible" r:id="rId5"/>
    <sheet name="CD玉 増減明細" sheetId="4" state="visible" r:id="rId6"/>
    <sheet name="成約明細" sheetId="5" state="visible" r:id="rId7"/>
    <sheet name="新規作成明細" sheetId="6" state="visible" r:id="rId8"/>
    <sheet name="失注明細" sheetId="7" state="visible" r:id="rId9"/>
    <sheet name="グラフ用データ" sheetId="8" state="visible" r:id="rId10"/>
    <sheet name="算出方法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<sst xmlns="http://schemas.openxmlformats.org/spreadsheetml/2006/main" count="700" uniqueCount="251">
  <si>
    <r>
      <rPr>
        <b val="true"/>
        <sz val="16"/>
        <color rgb="FF2C5F2D"/>
        <rFont val="Meiryo"/>
        <family val="0"/>
        <charset val="1"/>
      </rPr>
      <t xml:space="preserve">9</t>
    </r>
    <r>
      <rPr>
        <b val="true"/>
        <sz val="16"/>
        <color rgb="FF2C5F2D"/>
        <rFont val="WenQuanYi Zen Hei"/>
        <family val="2"/>
      </rPr>
      <t xml:space="preserve">月サマリー｜コーデ</t>
    </r>
    <r>
      <rPr>
        <b val="true"/>
        <sz val="16"/>
        <color rgb="FF2C5F2D"/>
        <rFont val="Meiryo"/>
        <family val="0"/>
        <charset val="1"/>
      </rPr>
      <t xml:space="preserve">+TREEBATON </t>
    </r>
    <r>
      <rPr>
        <b val="true"/>
        <sz val="16"/>
        <color rgb="FF2C5F2D"/>
        <rFont val="WenQuanYi Zen Hei"/>
        <family val="2"/>
      </rPr>
      <t xml:space="preserve">＋ 建築</t>
    </r>
  </si>
  <si>
    <r>
      <rPr>
        <sz val="9"/>
        <color rgb="FF767676"/>
        <rFont val="Meiryo"/>
        <family val="0"/>
        <charset val="1"/>
      </rPr>
      <t xml:space="preserve">2026/09/01 → 09/28 </t>
    </r>
    <r>
      <rPr>
        <sz val="9"/>
        <color rgb="FF767676"/>
        <rFont val="WenQuanYi Zen Hei"/>
        <family val="2"/>
      </rPr>
      <t xml:space="preserve">の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商談変更履歴</t>
    </r>
    <r>
      <rPr>
        <sz val="9"/>
        <color rgb="FF767676"/>
        <rFont val="Meiryo"/>
        <family val="0"/>
        <charset val="1"/>
      </rPr>
      <t xml:space="preserve">405</t>
    </r>
    <r>
      <rPr>
        <sz val="9"/>
        <color rgb="FF767676"/>
        <rFont val="WenQuanYi Zen Hei"/>
        <family val="2"/>
      </rPr>
      <t xml:space="preserve">件を再生　／　単位：千円　／　玉＝フェーズ≠</t>
    </r>
    <r>
      <rPr>
        <sz val="9"/>
        <color rgb="FF767676"/>
        <rFont val="Meiryo"/>
        <family val="0"/>
        <charset val="1"/>
      </rPr>
      <t xml:space="preserve">00_</t>
    </r>
    <r>
      <rPr>
        <sz val="9"/>
        <color rgb="FF767676"/>
        <rFont val="WenQuanYi Zen Hei"/>
        <family val="2"/>
      </rPr>
      <t xml:space="preserve">失注 かつ 完了予定日が</t>
    </r>
    <r>
      <rPr>
        <sz val="9"/>
        <color rgb="FF767676"/>
        <rFont val="Meiryo"/>
        <family val="0"/>
        <charset val="1"/>
      </rPr>
      <t xml:space="preserve">26</t>
    </r>
    <r>
      <rPr>
        <sz val="9"/>
        <color rgb="FF767676"/>
        <rFont val="WenQuanYi Zen Hei"/>
        <family val="2"/>
      </rPr>
      <t xml:space="preserve">年度内の金額　／　</t>
    </r>
    <r>
      <rPr>
        <sz val="9"/>
        <color rgb="FF767676"/>
        <rFont val="Meiryo"/>
        <family val="0"/>
        <charset val="1"/>
      </rPr>
      <t xml:space="preserve">OEM</t>
    </r>
    <r>
      <rPr>
        <sz val="9"/>
        <color rgb="FF767676"/>
        <rFont val="WenQuanYi Zen Hei"/>
        <family val="2"/>
      </rPr>
      <t xml:space="preserve">・その他は対象外</t>
    </r>
  </si>
  <si>
    <r>
      <rPr>
        <b val="true"/>
        <sz val="12.5"/>
        <color rgb="FF2C5F2D"/>
        <rFont val="WenQuanYi Zen Hei"/>
        <family val="2"/>
      </rPr>
      <t xml:space="preserve">①　</t>
    </r>
    <r>
      <rPr>
        <b val="true"/>
        <sz val="12.5"/>
        <color rgb="FF2C5F2D"/>
        <rFont val="Meiryo"/>
        <family val="0"/>
        <charset val="1"/>
      </rPr>
      <t xml:space="preserve">ABCD</t>
    </r>
    <r>
      <rPr>
        <b val="true"/>
        <sz val="12.5"/>
        <color rgb="FF2C5F2D"/>
        <rFont val="WenQuanYi Zen Hei"/>
        <family val="2"/>
      </rPr>
      <t xml:space="preserve">総玉</t>
    </r>
  </si>
  <si>
    <r>
      <rPr>
        <sz val="9"/>
        <color rgb="FF767676"/>
        <rFont val="WenQuanYi Zen Hei"/>
        <family val="2"/>
      </rPr>
      <t xml:space="preserve">対象：コーデ</t>
    </r>
    <r>
      <rPr>
        <sz val="9"/>
        <color rgb="FF767676"/>
        <rFont val="Meiryo"/>
        <family val="0"/>
        <charset val="1"/>
      </rPr>
      <t xml:space="preserve">+TREEBATON</t>
    </r>
    <r>
      <rPr>
        <sz val="9"/>
        <color rgb="FF767676"/>
        <rFont val="WenQuanYi Zen Hei"/>
        <family val="2"/>
      </rPr>
      <t xml:space="preserve">（通期</t>
    </r>
    <r>
      <rPr>
        <sz val="9"/>
        <color rgb="FF767676"/>
        <rFont val="Meiryo"/>
        <family val="0"/>
        <charset val="1"/>
      </rPr>
      <t xml:space="preserve">26</t>
    </r>
    <r>
      <rPr>
        <sz val="9"/>
        <color rgb="FF767676"/>
        <rFont val="WenQuanYi Zen Hei"/>
        <family val="2"/>
      </rPr>
      <t xml:space="preserve">年度）。</t>
    </r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玉・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玉・長期玉の合計です。</t>
    </r>
  </si>
  <si>
    <r>
      <rPr>
        <b val="true"/>
        <sz val="9.5"/>
        <color rgb="FF767676"/>
        <rFont val="Meiryo"/>
        <family val="0"/>
        <charset val="1"/>
      </rPr>
      <t xml:space="preserve">9/1 </t>
    </r>
    <r>
      <rPr>
        <b val="true"/>
        <sz val="9.5"/>
        <color rgb="FF767676"/>
        <rFont val="WenQuanYi Zen Hei"/>
        <family val="2"/>
      </rPr>
      <t xml:space="preserve">時点</t>
    </r>
  </si>
  <si>
    <r>
      <rPr>
        <b val="true"/>
        <sz val="9.5"/>
        <color rgb="FF767676"/>
        <rFont val="Meiryo"/>
        <family val="0"/>
        <charset val="1"/>
      </rPr>
      <t xml:space="preserve">9</t>
    </r>
    <r>
      <rPr>
        <b val="true"/>
        <sz val="9.5"/>
        <color rgb="FF767676"/>
        <rFont val="WenQuanYi Zen Hei"/>
        <family val="2"/>
      </rPr>
      <t xml:space="preserve">月末 時点</t>
    </r>
  </si>
  <si>
    <t xml:space="preserve">増減</t>
  </si>
  <si>
    <t xml:space="preserve">増減率</t>
  </si>
  <si>
    <r>
      <rPr>
        <sz val="8.5"/>
        <color rgb="FF767676"/>
        <rFont val="Meiryo"/>
        <family val="0"/>
        <charset val="1"/>
      </rPr>
      <t xml:space="preserve">9</t>
    </r>
    <r>
      <rPr>
        <sz val="8.5"/>
        <color rgb="FF767676"/>
        <rFont val="WenQuanYi Zen Hei"/>
        <family val="2"/>
      </rPr>
      <t xml:space="preserve">月末 − </t>
    </r>
    <r>
      <rPr>
        <sz val="8.5"/>
        <color rgb="FF767676"/>
        <rFont val="Meiryo"/>
        <family val="0"/>
        <charset val="1"/>
      </rPr>
      <t xml:space="preserve">9</t>
    </r>
    <r>
      <rPr>
        <sz val="8.5"/>
        <color rgb="FF767676"/>
        <rFont val="WenQuanYi Zen Hei"/>
        <family val="2"/>
      </rPr>
      <t xml:space="preserve">月の増減 で逆算</t>
    </r>
  </si>
  <si>
    <r>
      <rPr>
        <sz val="8.5"/>
        <color rgb="FF767676"/>
        <rFont val="Meiryo"/>
        <family val="0"/>
        <charset val="1"/>
      </rPr>
      <t xml:space="preserve">10/5 SF</t>
    </r>
    <r>
      <rPr>
        <sz val="8.5"/>
        <color rgb="FF767676"/>
        <rFont val="WenQuanYi Zen Hei"/>
        <family val="2"/>
      </rPr>
      <t xml:space="preserve">スナップショット</t>
    </r>
  </si>
  <si>
    <r>
      <rPr>
        <sz val="8.5"/>
        <color rgb="FF767676"/>
        <rFont val="Meiryo"/>
        <family val="0"/>
        <charset val="1"/>
      </rPr>
      <t xml:space="preserve">9</t>
    </r>
    <r>
      <rPr>
        <sz val="8.5"/>
        <color rgb="FF767676"/>
        <rFont val="WenQuanYi Zen Hei"/>
        <family val="2"/>
      </rPr>
      <t xml:space="preserve">月の純増</t>
    </r>
  </si>
  <si>
    <r>
      <rPr>
        <sz val="8.5"/>
        <color rgb="FF767676"/>
        <rFont val="Meiryo"/>
        <family val="0"/>
        <charset val="1"/>
      </rPr>
      <t xml:space="preserve">9/1</t>
    </r>
    <r>
      <rPr>
        <sz val="8.5"/>
        <color rgb="FF767676"/>
        <rFont val="WenQuanYi Zen Hei"/>
        <family val="2"/>
      </rPr>
      <t xml:space="preserve">時点に対して</t>
    </r>
  </si>
  <si>
    <r>
      <rPr>
        <b val="true"/>
        <sz val="10.5"/>
        <color rgb="FF1A1A1A"/>
        <rFont val="WenQuanYi Zen Hei"/>
        <family val="2"/>
      </rPr>
      <t xml:space="preserve">内訳：</t>
    </r>
    <r>
      <rPr>
        <b val="true"/>
        <sz val="10.5"/>
        <color rgb="FF1A1A1A"/>
        <rFont val="Meiryo"/>
        <family val="0"/>
        <charset val="1"/>
      </rPr>
      <t xml:space="preserve">AB</t>
    </r>
    <r>
      <rPr>
        <b val="true"/>
        <sz val="10.5"/>
        <color rgb="FF1A1A1A"/>
        <rFont val="WenQuanYi Zen Hei"/>
        <family val="2"/>
      </rPr>
      <t xml:space="preserve">玉 と </t>
    </r>
    <r>
      <rPr>
        <b val="true"/>
        <sz val="10.5"/>
        <color rgb="FF1A1A1A"/>
        <rFont val="Meiryo"/>
        <family val="0"/>
        <charset val="1"/>
      </rPr>
      <t xml:space="preserve">CD</t>
    </r>
    <r>
      <rPr>
        <b val="true"/>
        <sz val="10.5"/>
        <color rgb="FF1A1A1A"/>
        <rFont val="WenQuanYi Zen Hei"/>
        <family val="2"/>
      </rPr>
      <t xml:space="preserve">玉 のどちらが動いたか</t>
    </r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</si>
  <si>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玉 増減</t>
    </r>
  </si>
  <si>
    <r>
      <rPr>
        <b val="true"/>
        <sz val="9.5"/>
        <color rgb="FF767676"/>
        <rFont val="Meiryo"/>
        <family val="0"/>
        <charset val="1"/>
      </rPr>
      <t xml:space="preserve">CD</t>
    </r>
    <r>
      <rPr>
        <b val="true"/>
        <sz val="9.5"/>
        <color rgb="FF767676"/>
        <rFont val="WenQuanYi Zen Hei"/>
        <family val="2"/>
      </rPr>
      <t xml:space="preserve">玉 増減</t>
    </r>
  </si>
  <si>
    <t xml:space="preserve">長期玉 増減</t>
  </si>
  <si>
    <r>
      <rPr>
        <b val="true"/>
        <sz val="9.5"/>
        <color rgb="FF767676"/>
        <rFont val="WenQuanYi Zen Hei"/>
        <family val="2"/>
      </rPr>
      <t xml:space="preserve">総玉に占める</t>
    </r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玉の増減</t>
    </r>
  </si>
  <si>
    <r>
      <rPr>
        <sz val="8.5"/>
        <color rgb="FF767676"/>
        <rFont val="WenQuanYi Zen Hei"/>
        <family val="2"/>
      </rPr>
      <t xml:space="preserve">確度</t>
    </r>
    <r>
      <rPr>
        <sz val="8.5"/>
        <color rgb="FF767676"/>
        <rFont val="Meiryo"/>
        <family val="0"/>
        <charset val="1"/>
      </rPr>
      <t xml:space="preserve">A</t>
    </r>
    <r>
      <rPr>
        <sz val="8.5"/>
        <color rgb="FF767676"/>
        <rFont val="WenQuanYi Zen Hei"/>
        <family val="2"/>
      </rPr>
      <t xml:space="preserve">・</t>
    </r>
    <r>
      <rPr>
        <sz val="8.5"/>
        <color rgb="FF767676"/>
        <rFont val="Meiryo"/>
        <family val="0"/>
        <charset val="1"/>
      </rPr>
      <t xml:space="preserve">B</t>
    </r>
    <r>
      <rPr>
        <sz val="8.5"/>
        <color rgb="FF767676"/>
        <rFont val="WenQuanYi Zen Hei"/>
        <family val="2"/>
      </rPr>
      <t xml:space="preserve">の玉</t>
    </r>
  </si>
  <si>
    <r>
      <rPr>
        <sz val="8.5"/>
        <color rgb="FF767676"/>
        <rFont val="WenQuanYi Zen Hei"/>
        <family val="2"/>
      </rPr>
      <t xml:space="preserve">確度</t>
    </r>
    <r>
      <rPr>
        <sz val="8.5"/>
        <color rgb="FF767676"/>
        <rFont val="Meiryo"/>
        <family val="0"/>
        <charset val="1"/>
      </rPr>
      <t xml:space="preserve">C</t>
    </r>
    <r>
      <rPr>
        <sz val="8.5"/>
        <color rgb="FF767676"/>
        <rFont val="WenQuanYi Zen Hei"/>
        <family val="2"/>
      </rPr>
      <t xml:space="preserve">・</t>
    </r>
    <r>
      <rPr>
        <sz val="8.5"/>
        <color rgb="FF767676"/>
        <rFont val="Meiryo"/>
        <family val="0"/>
        <charset val="1"/>
      </rPr>
      <t xml:space="preserve">D</t>
    </r>
    <r>
      <rPr>
        <sz val="8.5"/>
        <color rgb="FF767676"/>
        <rFont val="WenQuanYi Zen Hei"/>
        <family val="2"/>
      </rPr>
      <t xml:space="preserve">の玉</t>
    </r>
  </si>
  <si>
    <t xml:space="preserve">動きなし</t>
  </si>
  <si>
    <r>
      <rPr>
        <sz val="8.5"/>
        <color rgb="FF767676"/>
        <rFont val="WenQuanYi Zen Hei"/>
        <family val="2"/>
      </rPr>
      <t xml:space="preserve">総玉の増加はほぼ</t>
    </r>
    <r>
      <rPr>
        <sz val="8.5"/>
        <color rgb="FF767676"/>
        <rFont val="Meiryo"/>
        <family val="0"/>
        <charset val="1"/>
      </rPr>
      <t xml:space="preserve">AB</t>
    </r>
    <r>
      <rPr>
        <sz val="8.5"/>
        <color rgb="FF767676"/>
        <rFont val="WenQuanYi Zen Hei"/>
        <family val="2"/>
      </rPr>
      <t xml:space="preserve">玉</t>
    </r>
  </si>
  <si>
    <r>
      <rPr>
        <b val="true"/>
        <sz val="10"/>
        <color rgb="FFC87941"/>
        <rFont val="WenQuanYi Zen Hei"/>
        <family val="2"/>
      </rPr>
      <t xml:space="preserve">総玉は </t>
    </r>
    <r>
      <rPr>
        <b val="true"/>
        <sz val="10"/>
        <color rgb="FFC87941"/>
        <rFont val="Meiryo"/>
        <family val="0"/>
        <charset val="1"/>
      </rPr>
      <t xml:space="preserve">+13,815 </t>
    </r>
    <r>
      <rPr>
        <b val="true"/>
        <sz val="10"/>
        <color rgb="FFC87941"/>
        <rFont val="WenQuanYi Zen Hei"/>
        <family val="2"/>
      </rPr>
      <t xml:space="preserve">増えましたが、</t>
    </r>
    <r>
      <rPr>
        <b val="true"/>
        <sz val="10"/>
        <color rgb="FFC87941"/>
        <rFont val="Meiryo"/>
        <family val="0"/>
        <charset val="1"/>
      </rPr>
      <t xml:space="preserve">CD</t>
    </r>
    <r>
      <rPr>
        <b val="true"/>
        <sz val="10"/>
        <color rgb="FFC87941"/>
        <rFont val="WenQuanYi Zen Hei"/>
        <family val="2"/>
      </rPr>
      <t xml:space="preserve">玉はほぼ横ばい。増えたのは</t>
    </r>
    <r>
      <rPr>
        <b val="true"/>
        <sz val="10"/>
        <color rgb="FFC87941"/>
        <rFont val="Meiryo"/>
        <family val="0"/>
        <charset val="1"/>
      </rPr>
      <t xml:space="preserve">AB</t>
    </r>
    <r>
      <rPr>
        <b val="true"/>
        <sz val="10"/>
        <color rgb="FFC87941"/>
        <rFont val="WenQuanYi Zen Hei"/>
        <family val="2"/>
      </rPr>
      <t xml:space="preserve">玉だけです。</t>
    </r>
  </si>
  <si>
    <r>
      <rPr>
        <b val="true"/>
        <sz val="12.5"/>
        <color rgb="FF2C5F2D"/>
        <rFont val="WenQuanYi Zen Hei"/>
        <family val="2"/>
      </rPr>
      <t xml:space="preserve">②　</t>
    </r>
    <r>
      <rPr>
        <b val="true"/>
        <sz val="12.5"/>
        <color rgb="FF2C5F2D"/>
        <rFont val="Meiryo"/>
        <family val="0"/>
        <charset val="1"/>
      </rPr>
      <t xml:space="preserve">AB</t>
    </r>
    <r>
      <rPr>
        <b val="true"/>
        <sz val="12.5"/>
        <color rgb="FF2C5F2D"/>
        <rFont val="WenQuanYi Zen Hei"/>
        <family val="2"/>
      </rPr>
      <t xml:space="preserve">玉</t>
    </r>
  </si>
  <si>
    <r>
      <rPr>
        <sz val="9"/>
        <color rgb="FF767676"/>
        <rFont val="WenQuanYi Zen Hei"/>
        <family val="2"/>
      </rPr>
      <t xml:space="preserve">確度</t>
    </r>
    <r>
      <rPr>
        <sz val="9"/>
        <color rgb="FF767676"/>
        <rFont val="Meiryo"/>
        <family val="0"/>
        <charset val="1"/>
      </rPr>
      <t xml:space="preserve">A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B</t>
    </r>
    <r>
      <rPr>
        <sz val="9"/>
        <color rgb="FF767676"/>
        <rFont val="WenQuanYi Zen Hei"/>
        <family val="2"/>
      </rPr>
      <t xml:space="preserve">の玉。成約済みも含みます。</t>
    </r>
  </si>
  <si>
    <t xml:space="preserve">なぜ増減したのか</t>
  </si>
  <si>
    <r>
      <rPr>
        <b val="true"/>
        <sz val="9.5"/>
        <color rgb="FF767676"/>
        <rFont val="WenQuanYi Zen Hei"/>
        <family val="2"/>
      </rPr>
      <t xml:space="preserve">確度</t>
    </r>
    <r>
      <rPr>
        <b val="true"/>
        <sz val="9.5"/>
        <color rgb="FF767676"/>
        <rFont val="Meiryo"/>
        <family val="0"/>
        <charset val="1"/>
      </rPr>
      <t xml:space="preserve">UP</t>
    </r>
    <r>
      <rPr>
        <b val="true"/>
        <sz val="9.5"/>
        <color rgb="FF767676"/>
        <rFont val="WenQuanYi Zen Hei"/>
        <family val="2"/>
      </rPr>
      <t xml:space="preserve">（</t>
    </r>
    <r>
      <rPr>
        <b val="true"/>
        <sz val="9.5"/>
        <color rgb="FF767676"/>
        <rFont val="Meiryo"/>
        <family val="0"/>
        <charset val="1"/>
      </rPr>
      <t xml:space="preserve">CD→AB</t>
    </r>
    <r>
      <rPr>
        <b val="true"/>
        <sz val="9.5"/>
        <color rgb="FF767676"/>
        <rFont val="WenQuanYi Zen Hei"/>
        <family val="2"/>
      </rPr>
      <t xml:space="preserve">）</t>
    </r>
  </si>
  <si>
    <t xml:space="preserve">新規作成</t>
  </si>
  <si>
    <t xml:space="preserve">失注から復活</t>
  </si>
  <si>
    <t xml:space="preserve">増額</t>
  </si>
  <si>
    <t xml:space="preserve">減額</t>
  </si>
  <si>
    <r>
      <rPr>
        <b val="true"/>
        <sz val="10"/>
        <color rgb="FFC87941"/>
        <rFont val="WenQuanYi Zen Hei"/>
        <family val="2"/>
      </rPr>
      <t xml:space="preserve">増加の</t>
    </r>
    <r>
      <rPr>
        <b val="true"/>
        <sz val="10"/>
        <color rgb="FFC87941"/>
        <rFont val="Meiryo"/>
        <family val="0"/>
        <charset val="1"/>
      </rPr>
      <t xml:space="preserve">84%</t>
    </r>
    <r>
      <rPr>
        <b val="true"/>
        <sz val="10"/>
        <color rgb="FFC87941"/>
        <rFont val="WenQuanYi Zen Hei"/>
        <family val="2"/>
      </rPr>
      <t xml:space="preserve">が「確度</t>
    </r>
    <r>
      <rPr>
        <b val="true"/>
        <sz val="10"/>
        <color rgb="FFC87941"/>
        <rFont val="Meiryo"/>
        <family val="0"/>
        <charset val="1"/>
      </rPr>
      <t xml:space="preserve">UP</t>
    </r>
    <r>
      <rPr>
        <b val="true"/>
        <sz val="10"/>
        <color rgb="FFC87941"/>
        <rFont val="WenQuanYi Zen Hei"/>
        <family val="2"/>
      </rPr>
      <t xml:space="preserve">」。うち認証桧柾目材供給</t>
    </r>
    <r>
      <rPr>
        <b val="true"/>
        <sz val="10"/>
        <color rgb="FFC87941"/>
        <rFont val="Meiryo"/>
        <family val="0"/>
        <charset val="1"/>
      </rPr>
      <t xml:space="preserve">PJ</t>
    </r>
    <r>
      <rPr>
        <b val="true"/>
        <sz val="10"/>
        <color rgb="FFC87941"/>
        <rFont val="WenQuanYi Zen Hei"/>
        <family val="2"/>
      </rPr>
      <t xml:space="preserve">の</t>
    </r>
    <r>
      <rPr>
        <b val="true"/>
        <sz val="10"/>
        <color rgb="FFC87941"/>
        <rFont val="Meiryo"/>
        <family val="0"/>
        <charset val="1"/>
      </rPr>
      <t xml:space="preserve">2</t>
    </r>
    <r>
      <rPr>
        <b val="true"/>
        <sz val="10"/>
        <color rgb="FFC87941"/>
        <rFont val="WenQuanYi Zen Hei"/>
        <family val="2"/>
      </rPr>
      <t xml:space="preserve">件で </t>
    </r>
    <r>
      <rPr>
        <b val="true"/>
        <sz val="10"/>
        <color rgb="FFC87941"/>
        <rFont val="Meiryo"/>
        <family val="0"/>
        <charset val="1"/>
      </rPr>
      <t xml:space="preserve">+10,616</t>
    </r>
    <r>
      <rPr>
        <b val="true"/>
        <sz val="10"/>
        <color rgb="FFC87941"/>
        <rFont val="WenQuanYi Zen Hei"/>
        <family val="2"/>
      </rPr>
      <t xml:space="preserve">、確度</t>
    </r>
    <r>
      <rPr>
        <b val="true"/>
        <sz val="10"/>
        <color rgb="FFC87941"/>
        <rFont val="Meiryo"/>
        <family val="0"/>
        <charset val="1"/>
      </rPr>
      <t xml:space="preserve">UP</t>
    </r>
    <r>
      <rPr>
        <b val="true"/>
        <sz val="10"/>
        <color rgb="FFC87941"/>
        <rFont val="WenQuanYi Zen Hei"/>
        <family val="2"/>
      </rPr>
      <t xml:space="preserve">全体の</t>
    </r>
    <r>
      <rPr>
        <b val="true"/>
        <sz val="10"/>
        <color rgb="FFC87941"/>
        <rFont val="Meiryo"/>
        <family val="0"/>
        <charset val="1"/>
      </rPr>
      <t xml:space="preserve">91%</t>
    </r>
    <r>
      <rPr>
        <b val="true"/>
        <sz val="10"/>
        <color rgb="FFC87941"/>
        <rFont val="WenQuanYi Zen Hei"/>
        <family val="2"/>
      </rPr>
      <t xml:space="preserve">を占めます。</t>
    </r>
  </si>
  <si>
    <r>
      <rPr>
        <b val="true"/>
        <sz val="10"/>
        <color rgb="FF767676"/>
        <rFont val="WenQuanYi Zen Hei"/>
        <family val="2"/>
      </rPr>
      <t xml:space="preserve">確度</t>
    </r>
    <r>
      <rPr>
        <b val="true"/>
        <sz val="10"/>
        <color rgb="FF767676"/>
        <rFont val="Meiryo"/>
        <family val="0"/>
        <charset val="1"/>
      </rPr>
      <t xml:space="preserve">UP</t>
    </r>
    <r>
      <rPr>
        <b val="true"/>
        <sz val="10"/>
        <color rgb="FF767676"/>
        <rFont val="WenQuanYi Zen Hei"/>
        <family val="2"/>
      </rPr>
      <t xml:space="preserve">で</t>
    </r>
    <r>
      <rPr>
        <b val="true"/>
        <sz val="10"/>
        <color rgb="FF767676"/>
        <rFont val="Meiryo"/>
        <family val="0"/>
        <charset val="1"/>
      </rPr>
      <t xml:space="preserve">CD</t>
    </r>
    <r>
      <rPr>
        <b val="true"/>
        <sz val="10"/>
        <color rgb="FF767676"/>
        <rFont val="WenQuanYi Zen Hei"/>
        <family val="2"/>
      </rPr>
      <t xml:space="preserve">玉から出たのは </t>
    </r>
    <r>
      <rPr>
        <b val="true"/>
        <sz val="10"/>
        <color rgb="FF767676"/>
        <rFont val="Meiryo"/>
        <family val="0"/>
        <charset val="1"/>
      </rPr>
      <t xml:space="preserve">-5,152</t>
    </r>
    <r>
      <rPr>
        <b val="true"/>
        <sz val="10"/>
        <color rgb="FF767676"/>
        <rFont val="WenQuanYi Zen Hei"/>
        <family val="2"/>
      </rPr>
      <t xml:space="preserve">。</t>
    </r>
    <r>
      <rPr>
        <b val="true"/>
        <sz val="10"/>
        <color rgb="FF767676"/>
        <rFont val="Meiryo"/>
        <family val="0"/>
        <charset val="1"/>
      </rPr>
      <t xml:space="preserve">AB</t>
    </r>
    <r>
      <rPr>
        <b val="true"/>
        <sz val="10"/>
        <color rgb="FF767676"/>
        <rFont val="WenQuanYi Zen Hei"/>
        <family val="2"/>
      </rPr>
      <t xml:space="preserve">玉には </t>
    </r>
    <r>
      <rPr>
        <b val="true"/>
        <sz val="10"/>
        <color rgb="FF767676"/>
        <rFont val="Meiryo"/>
        <family val="0"/>
        <charset val="1"/>
      </rPr>
      <t xml:space="preserve">+11,696 </t>
    </r>
    <r>
      <rPr>
        <b val="true"/>
        <sz val="10"/>
        <color rgb="FF767676"/>
        <rFont val="WenQuanYi Zen Hei"/>
        <family val="2"/>
      </rPr>
      <t xml:space="preserve">入りました。差の </t>
    </r>
    <r>
      <rPr>
        <b val="true"/>
        <sz val="10"/>
        <color rgb="FF767676"/>
        <rFont val="Meiryo"/>
        <family val="0"/>
        <charset val="1"/>
      </rPr>
      <t xml:space="preserve">+6,544 </t>
    </r>
    <r>
      <rPr>
        <b val="true"/>
        <sz val="10"/>
        <color rgb="FF767676"/>
        <rFont val="WenQuanYi Zen Hei"/>
        <family val="2"/>
      </rPr>
      <t xml:space="preserve">は、確度が上がると同時に金額が増えたぶんです。</t>
    </r>
  </si>
  <si>
    <r>
      <rPr>
        <b val="true"/>
        <sz val="12.5"/>
        <color rgb="FF2C5F2D"/>
        <rFont val="WenQuanYi Zen Hei"/>
        <family val="2"/>
      </rPr>
      <t xml:space="preserve">③　</t>
    </r>
    <r>
      <rPr>
        <b val="true"/>
        <sz val="12.5"/>
        <color rgb="FF2C5F2D"/>
        <rFont val="Meiryo"/>
        <family val="0"/>
        <charset val="1"/>
      </rPr>
      <t xml:space="preserve">CD</t>
    </r>
    <r>
      <rPr>
        <b val="true"/>
        <sz val="12.5"/>
        <color rgb="FF2C5F2D"/>
        <rFont val="WenQuanYi Zen Hei"/>
        <family val="2"/>
      </rPr>
      <t xml:space="preserve">玉</t>
    </r>
  </si>
  <si>
    <r>
      <rPr>
        <sz val="9"/>
        <color rgb="FF767676"/>
        <rFont val="WenQuanYi Zen Hei"/>
        <family val="2"/>
      </rPr>
      <t xml:space="preserve">確度</t>
    </r>
    <r>
      <rPr>
        <sz val="9"/>
        <color rgb="FF767676"/>
        <rFont val="Meiryo"/>
        <family val="0"/>
        <charset val="1"/>
      </rPr>
      <t xml:space="preserve">C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D</t>
    </r>
    <r>
      <rPr>
        <sz val="9"/>
        <color rgb="FF767676"/>
        <rFont val="WenQuanYi Zen Hei"/>
        <family val="2"/>
      </rPr>
      <t xml:space="preserve">の玉。来月以降に</t>
    </r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玉へ上げられるストックです。</t>
    </r>
  </si>
  <si>
    <t xml:space="preserve">ほぼ横ばい</t>
  </si>
  <si>
    <r>
      <rPr>
        <b val="true"/>
        <sz val="9.5"/>
        <color rgb="FF767676"/>
        <rFont val="WenQuanYi Zen Hei"/>
        <family val="2"/>
      </rPr>
      <t xml:space="preserve">確度</t>
    </r>
    <r>
      <rPr>
        <b val="true"/>
        <sz val="9.5"/>
        <color rgb="FF767676"/>
        <rFont val="Meiryo"/>
        <family val="0"/>
        <charset val="1"/>
      </rPr>
      <t xml:space="preserve">UP</t>
    </r>
    <r>
      <rPr>
        <b val="true"/>
        <sz val="9.5"/>
        <color rgb="FF767676"/>
        <rFont val="WenQuanYi Zen Hei"/>
        <family val="2"/>
      </rPr>
      <t xml:space="preserve">（</t>
    </r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玉へ移動）</t>
    </r>
  </si>
  <si>
    <t xml:space="preserve">失注</t>
  </si>
  <si>
    <r>
      <rPr>
        <b val="true"/>
        <sz val="10"/>
        <color rgb="FFC87941"/>
        <rFont val="WenQuanYi Zen Hei"/>
        <family val="2"/>
      </rPr>
      <t xml:space="preserve">新規 </t>
    </r>
    <r>
      <rPr>
        <b val="true"/>
        <sz val="10"/>
        <color rgb="FFC87941"/>
        <rFont val="Meiryo"/>
        <family val="0"/>
        <charset val="1"/>
      </rPr>
      <t xml:space="preserve">+6,904 </t>
    </r>
    <r>
      <rPr>
        <b val="true"/>
        <sz val="10"/>
        <color rgb="FFC87941"/>
        <rFont val="WenQuanYi Zen Hei"/>
        <family val="2"/>
      </rPr>
      <t xml:space="preserve">と 増額 </t>
    </r>
    <r>
      <rPr>
        <b val="true"/>
        <sz val="10"/>
        <color rgb="FFC87941"/>
        <rFont val="Meiryo"/>
        <family val="0"/>
        <charset val="1"/>
      </rPr>
      <t xml:space="preserve">+3,855 </t>
    </r>
    <r>
      <rPr>
        <b val="true"/>
        <sz val="10"/>
        <color rgb="FFC87941"/>
        <rFont val="WenQuanYi Zen Hei"/>
        <family val="2"/>
      </rPr>
      <t xml:space="preserve">で積み上げた分を、確度</t>
    </r>
    <r>
      <rPr>
        <b val="true"/>
        <sz val="10"/>
        <color rgb="FFC87941"/>
        <rFont val="Meiryo"/>
        <family val="0"/>
        <charset val="1"/>
      </rPr>
      <t xml:space="preserve">UP</t>
    </r>
    <r>
      <rPr>
        <b val="true"/>
        <sz val="10"/>
        <color rgb="FFC87941"/>
        <rFont val="WenQuanYi Zen Hei"/>
        <family val="2"/>
      </rPr>
      <t xml:space="preserve">での流出 </t>
    </r>
    <r>
      <rPr>
        <b val="true"/>
        <sz val="10"/>
        <color rgb="FFC87941"/>
        <rFont val="Meiryo"/>
        <family val="0"/>
        <charset val="1"/>
      </rPr>
      <t xml:space="preserve">-5,152 </t>
    </r>
    <r>
      <rPr>
        <b val="true"/>
        <sz val="10"/>
        <color rgb="FFC87941"/>
        <rFont val="WenQuanYi Zen Hei"/>
        <family val="2"/>
      </rPr>
      <t xml:space="preserve">と 失注 </t>
    </r>
    <r>
      <rPr>
        <b val="true"/>
        <sz val="10"/>
        <color rgb="FFC87941"/>
        <rFont val="Meiryo"/>
        <family val="0"/>
        <charset val="1"/>
      </rPr>
      <t xml:space="preserve">-5,597 </t>
    </r>
    <r>
      <rPr>
        <b val="true"/>
        <sz val="10"/>
        <color rgb="FFC87941"/>
        <rFont val="WenQuanYi Zen Hei"/>
        <family val="2"/>
      </rPr>
      <t xml:space="preserve">がほぼ打ち消しました。</t>
    </r>
  </si>
  <si>
    <r>
      <rPr>
        <b val="true"/>
        <sz val="10"/>
        <color rgb="FFB04A3C"/>
        <rFont val="WenQuanYi Zen Hei"/>
        <family val="2"/>
      </rPr>
      <t xml:space="preserve">結果として</t>
    </r>
    <r>
      <rPr>
        <b val="true"/>
        <sz val="10"/>
        <color rgb="FFB04A3C"/>
        <rFont val="Meiryo"/>
        <family val="0"/>
        <charset val="1"/>
      </rPr>
      <t xml:space="preserve">CD</t>
    </r>
    <r>
      <rPr>
        <b val="true"/>
        <sz val="10"/>
        <color rgb="FFB04A3C"/>
        <rFont val="WenQuanYi Zen Hei"/>
        <family val="2"/>
      </rPr>
      <t xml:space="preserve">玉は横ばい。来月以降に確度を上げられる玉のストックは増えていません。</t>
    </r>
  </si>
  <si>
    <r>
      <rPr>
        <b val="true"/>
        <sz val="12.5"/>
        <color rgb="FF2C5F2D"/>
        <rFont val="WenQuanYi Zen Hei"/>
        <family val="2"/>
      </rPr>
      <t xml:space="preserve">④　</t>
    </r>
    <r>
      <rPr>
        <b val="true"/>
        <sz val="12.5"/>
        <color rgb="FF2C5F2D"/>
        <rFont val="Meiryo"/>
        <family val="0"/>
        <charset val="1"/>
      </rPr>
      <t xml:space="preserve">9</t>
    </r>
    <r>
      <rPr>
        <b val="true"/>
        <sz val="12.5"/>
        <color rgb="FF2C5F2D"/>
        <rFont val="WenQuanYi Zen Hei"/>
        <family val="2"/>
      </rPr>
      <t xml:space="preserve">月の動き</t>
    </r>
  </si>
  <si>
    <t xml:space="preserve">成約・新規作成・失注。明細は各シートにあります。</t>
  </si>
  <si>
    <t xml:space="preserve">成約</t>
  </si>
  <si>
    <t xml:space="preserve">新規のうち金額未入力</t>
  </si>
  <si>
    <t xml:space="preserve">⑤　建築</t>
  </si>
  <si>
    <t xml:space="preserve">建築案件は通期スナップショットのレポートが未取得のため、増減のみ表示しています。</t>
  </si>
  <si>
    <r>
      <rPr>
        <b val="true"/>
        <sz val="9.5"/>
        <color rgb="FF767676"/>
        <rFont val="Meiryo"/>
        <family val="0"/>
        <charset val="1"/>
      </rPr>
      <t xml:space="preserve">9</t>
    </r>
    <r>
      <rPr>
        <b val="true"/>
        <sz val="9.5"/>
        <color rgb="FF767676"/>
        <rFont val="WenQuanYi Zen Hei"/>
        <family val="2"/>
      </rPr>
      <t xml:space="preserve">月の成約</t>
    </r>
  </si>
  <si>
    <r>
      <rPr>
        <b val="true"/>
        <sz val="9.5"/>
        <color rgb="FF767676"/>
        <rFont val="Meiryo"/>
        <family val="0"/>
        <charset val="1"/>
      </rPr>
      <t xml:space="preserve">9/1</t>
    </r>
    <r>
      <rPr>
        <b val="true"/>
        <sz val="9.5"/>
        <color rgb="FF767676"/>
        <rFont val="WenQuanYi Zen Hei"/>
        <family val="2"/>
      </rPr>
      <t xml:space="preserve">・</t>
    </r>
    <r>
      <rPr>
        <b val="true"/>
        <sz val="9.5"/>
        <color rgb="FF767676"/>
        <rFont val="Meiryo"/>
        <family val="0"/>
        <charset val="1"/>
      </rPr>
      <t xml:space="preserve">9</t>
    </r>
    <r>
      <rPr>
        <b val="true"/>
        <sz val="9.5"/>
        <color rgb="FF767676"/>
        <rFont val="WenQuanYi Zen Hei"/>
        <family val="2"/>
      </rPr>
      <t xml:space="preserve">月末の絶対値</t>
    </r>
  </si>
  <si>
    <t xml:space="preserve">未取得</t>
  </si>
  <si>
    <r>
      <rPr>
        <sz val="8.5"/>
        <color rgb="FF767676"/>
        <rFont val="WenQuanYi Zen Hei"/>
        <family val="2"/>
      </rPr>
      <t xml:space="preserve">枠材製作（材工）モックアップ製作 </t>
    </r>
    <r>
      <rPr>
        <sz val="8.5"/>
        <color rgb="FF767676"/>
        <rFont val="Meiryo"/>
        <family val="0"/>
        <charset val="1"/>
      </rPr>
      <t xml:space="preserve">1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</si>
  <si>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Meiryo"/>
        <family val="0"/>
        <charset val="1"/>
      </rPr>
      <t xml:space="preserve">CLT</t>
    </r>
    <r>
      <rPr>
        <sz val="8.5"/>
        <color rgb="FF767676"/>
        <rFont val="WenQuanYi Zen Hei"/>
        <family val="2"/>
      </rPr>
      <t xml:space="preserve">試験材 </t>
    </r>
    <r>
      <rPr>
        <sz val="8.5"/>
        <color rgb="FF767676"/>
        <rFont val="Meiryo"/>
        <family val="0"/>
        <charset val="1"/>
      </rPr>
      <t xml:space="preserve">1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</si>
  <si>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WenQuanYi Zen Hei"/>
        <family val="2"/>
      </rPr>
      <t xml:space="preserve">★建築</t>
    </r>
    <r>
      <rPr>
        <sz val="8.5"/>
        <color rgb="FF767676"/>
        <rFont val="Meiryo"/>
        <family val="0"/>
        <charset val="1"/>
      </rPr>
      <t xml:space="preserve">_</t>
    </r>
    <r>
      <rPr>
        <sz val="8.5"/>
        <color rgb="FF767676"/>
        <rFont val="WenQuanYi Zen Hei"/>
        <family val="2"/>
      </rPr>
      <t xml:space="preserve">総商談</t>
    </r>
    <r>
      <rPr>
        <sz val="8.5"/>
        <color rgb="FF767676"/>
        <rFont val="Meiryo"/>
        <family val="0"/>
        <charset val="1"/>
      </rPr>
      <t xml:space="preserve">_</t>
    </r>
    <r>
      <rPr>
        <sz val="8.5"/>
        <color rgb="FF767676"/>
        <rFont val="WenQuanYi Zen Hei"/>
        <family val="2"/>
      </rPr>
      <t xml:space="preserve">通期 のレポートがあれば出せます</t>
    </r>
  </si>
  <si>
    <t xml:space="preserve">⑥　来月に向けて</t>
  </si>
  <si>
    <t xml:space="preserve">この振り返りから出てくる打ち手です。</t>
  </si>
  <si>
    <t xml:space="preserve">①</t>
  </si>
  <si>
    <t xml:space="preserve">②</t>
  </si>
  <si>
    <t xml:space="preserve">③</t>
  </si>
  <si>
    <t xml:space="preserve">④</t>
  </si>
  <si>
    <r>
      <rPr>
        <b val="true"/>
        <sz val="10.5"/>
        <color rgb="FF2C5F2D"/>
        <rFont val="WenQuanYi Zen Hei"/>
        <family val="2"/>
      </rPr>
      <t xml:space="preserve">新規</t>
    </r>
    <r>
      <rPr>
        <b val="true"/>
        <sz val="10.5"/>
        <color rgb="FF2C5F2D"/>
        <rFont val="Meiryo"/>
        <family val="0"/>
        <charset val="1"/>
      </rPr>
      <t xml:space="preserve">38</t>
    </r>
    <r>
      <rPr>
        <b val="true"/>
        <sz val="10.5"/>
        <color rgb="FF2C5F2D"/>
        <rFont val="WenQuanYi Zen Hei"/>
        <family val="2"/>
      </rPr>
      <t xml:space="preserve">件のうち金額未入力</t>
    </r>
    <r>
      <rPr>
        <b val="true"/>
        <sz val="10.5"/>
        <color rgb="FF2C5F2D"/>
        <rFont val="Meiryo"/>
        <family val="0"/>
        <charset val="1"/>
      </rPr>
      <t xml:space="preserve">18</t>
    </r>
    <r>
      <rPr>
        <b val="true"/>
        <sz val="10.5"/>
        <color rgb="FF2C5F2D"/>
        <rFont val="WenQuanYi Zen Hei"/>
        <family val="2"/>
      </rPr>
      <t xml:space="preserve">件を埋める</t>
    </r>
  </si>
  <si>
    <t xml:space="preserve">認証桧柾目材・千本松牧場に続く案件を特定する</t>
  </si>
  <si>
    <r>
      <rPr>
        <b val="true"/>
        <sz val="10.5"/>
        <color rgb="FF2C5F2D"/>
        <rFont val="Meiryo"/>
        <family val="0"/>
        <charset val="1"/>
      </rPr>
      <t xml:space="preserve">CD</t>
    </r>
    <r>
      <rPr>
        <b val="true"/>
        <sz val="10.5"/>
        <color rgb="FF2C5F2D"/>
        <rFont val="WenQuanYi Zen Hei"/>
        <family val="2"/>
      </rPr>
      <t xml:space="preserve">玉のストックを増やす（</t>
    </r>
    <r>
      <rPr>
        <b val="true"/>
        <sz val="10.5"/>
        <color rgb="FF2C5F2D"/>
        <rFont val="Meiryo"/>
        <family val="0"/>
        <charset val="1"/>
      </rPr>
      <t xml:space="preserve">9</t>
    </r>
    <r>
      <rPr>
        <b val="true"/>
        <sz val="10.5"/>
        <color rgb="FF2C5F2D"/>
        <rFont val="WenQuanYi Zen Hei"/>
        <family val="2"/>
      </rPr>
      <t xml:space="preserve">月は横ばい）</t>
    </r>
  </si>
  <si>
    <r>
      <rPr>
        <b val="true"/>
        <sz val="10.5"/>
        <color rgb="FF2C5F2D"/>
        <rFont val="WenQuanYi Zen Hei"/>
        <family val="2"/>
      </rPr>
      <t xml:space="preserve">建築の玉が</t>
    </r>
    <r>
      <rPr>
        <b val="true"/>
        <sz val="10.5"/>
        <color rgb="FF2C5F2D"/>
        <rFont val="Meiryo"/>
        <family val="0"/>
        <charset val="1"/>
      </rPr>
      <t xml:space="preserve">1</t>
    </r>
    <r>
      <rPr>
        <b val="true"/>
        <sz val="10.5"/>
        <color rgb="FF2C5F2D"/>
        <rFont val="WenQuanYi Zen Hei"/>
        <family val="2"/>
      </rPr>
      <t xml:space="preserve">件のみ。増やす手を打つ</t>
    </r>
  </si>
  <si>
    <r>
      <rPr>
        <b val="true"/>
        <sz val="13"/>
        <color rgb="FF2C5F2D"/>
        <rFont val="Meiryo"/>
        <family val="0"/>
        <charset val="1"/>
      </rPr>
      <t xml:space="preserve">AB</t>
    </r>
    <r>
      <rPr>
        <b val="true"/>
        <sz val="13"/>
        <color rgb="FF2C5F2D"/>
        <rFont val="WenQuanYi Zen Hei"/>
        <family val="2"/>
      </rPr>
      <t xml:space="preserve">玉が動いた案件（</t>
    </r>
    <r>
      <rPr>
        <b val="true"/>
        <sz val="13"/>
        <color rgb="FF2C5F2D"/>
        <rFont val="Meiryo"/>
        <family val="0"/>
        <charset val="1"/>
      </rPr>
      <t xml:space="preserve">9/1 → 9</t>
    </r>
    <r>
      <rPr>
        <b val="true"/>
        <sz val="13"/>
        <color rgb="FF2C5F2D"/>
        <rFont val="WenQuanYi Zen Hei"/>
        <family val="2"/>
      </rPr>
      <t xml:space="preserve">月末）</t>
    </r>
  </si>
  <si>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玉＝確度</t>
    </r>
    <r>
      <rPr>
        <sz val="9"/>
        <color rgb="FF767676"/>
        <rFont val="Meiryo"/>
        <family val="0"/>
        <charset val="1"/>
      </rPr>
      <t xml:space="preserve">A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B </t>
    </r>
    <r>
      <rPr>
        <sz val="9"/>
        <color rgb="FF767676"/>
        <rFont val="WenQuanYi Zen Hei"/>
        <family val="2"/>
      </rPr>
      <t xml:space="preserve">かつ フェーズ≠</t>
    </r>
    <r>
      <rPr>
        <sz val="9"/>
        <color rgb="FF767676"/>
        <rFont val="Meiryo"/>
        <family val="0"/>
        <charset val="1"/>
      </rPr>
      <t xml:space="preserve">00_</t>
    </r>
    <r>
      <rPr>
        <sz val="9"/>
        <color rgb="FF767676"/>
        <rFont val="WenQuanYi Zen Hei"/>
        <family val="2"/>
      </rPr>
      <t xml:space="preserve">失注 かつ 完了予定日が</t>
    </r>
    <r>
      <rPr>
        <sz val="9"/>
        <color rgb="FF767676"/>
        <rFont val="Meiryo"/>
        <family val="0"/>
        <charset val="1"/>
      </rPr>
      <t xml:space="preserve">26</t>
    </r>
    <r>
      <rPr>
        <sz val="9"/>
        <color rgb="FF767676"/>
        <rFont val="WenQuanYi Zen Hei"/>
        <family val="2"/>
      </rPr>
      <t xml:space="preserve">年度内の金額。単位：千円。</t>
    </r>
  </si>
  <si>
    <t xml:space="preserve">グループ</t>
  </si>
  <si>
    <t xml:space="preserve">商談名</t>
  </si>
  <si>
    <r>
      <rPr>
        <b val="true"/>
        <sz val="10"/>
        <color rgb="FFFFFFFF"/>
        <rFont val="Meiryo"/>
        <family val="0"/>
        <charset val="1"/>
      </rPr>
      <t xml:space="preserve">9/1 AB</t>
    </r>
    <r>
      <rPr>
        <b val="true"/>
        <sz val="10"/>
        <color rgb="FFFFFFFF"/>
        <rFont val="WenQuanYi Zen Hei"/>
        <family val="2"/>
      </rPr>
      <t xml:space="preserve">玉</t>
    </r>
  </si>
  <si>
    <r>
      <rPr>
        <b val="true"/>
        <sz val="10"/>
        <color rgb="FFFFFFFF"/>
        <rFont val="Meiryo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月末 </t>
    </r>
    <r>
      <rPr>
        <b val="true"/>
        <sz val="10"/>
        <color rgb="FFFFFFFF"/>
        <rFont val="Meiryo"/>
        <family val="0"/>
        <charset val="1"/>
      </rPr>
      <t xml:space="preserve">AB</t>
    </r>
    <r>
      <rPr>
        <b val="true"/>
        <sz val="10"/>
        <color rgb="FFFFFFFF"/>
        <rFont val="WenQuanYi Zen Hei"/>
        <family val="2"/>
      </rPr>
      <t xml:space="preserve">玉</t>
    </r>
  </si>
  <si>
    <t xml:space="preserve">理由</t>
  </si>
  <si>
    <r>
      <rPr>
        <b val="true"/>
        <sz val="10"/>
        <color rgb="FFFFFFFF"/>
        <rFont val="Meiryo"/>
        <family val="0"/>
        <charset val="1"/>
      </rPr>
      <t xml:space="preserve">9/1 </t>
    </r>
    <r>
      <rPr>
        <b val="true"/>
        <sz val="10"/>
        <color rgb="FFFFFFFF"/>
        <rFont val="WenQuanYi Zen Hei"/>
        <family val="2"/>
      </rPr>
      <t xml:space="preserve">確度</t>
    </r>
  </si>
  <si>
    <r>
      <rPr>
        <b val="true"/>
        <sz val="10"/>
        <color rgb="FFFFFFFF"/>
        <rFont val="Meiryo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月末 確度</t>
    </r>
  </si>
  <si>
    <r>
      <rPr>
        <sz val="10"/>
        <rFont val="WenQuanYi Zen Hei"/>
        <family val="2"/>
      </rPr>
      <t xml:space="preserve">コーデ</t>
    </r>
    <r>
      <rPr>
        <sz val="10"/>
        <rFont val="Meiryo"/>
        <family val="0"/>
        <charset val="1"/>
      </rPr>
      <t xml:space="preserve">+TREEBATON</t>
    </r>
  </si>
  <si>
    <r>
      <rPr>
        <sz val="10"/>
        <rFont val="WenQuanYi Zen Hei"/>
        <family val="2"/>
      </rPr>
      <t xml:space="preserve">子商談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認証桧柾目材供給</t>
    </r>
    <r>
      <rPr>
        <sz val="10"/>
        <rFont val="Meiryo"/>
        <family val="0"/>
        <charset val="1"/>
      </rPr>
      <t xml:space="preserve">PJ_3</t>
    </r>
    <r>
      <rPr>
        <sz val="10"/>
        <rFont val="WenQuanYi Zen Hei"/>
        <family val="2"/>
      </rPr>
      <t xml:space="preserve">回目</t>
    </r>
    <r>
      <rPr>
        <sz val="10"/>
        <rFont val="Meiryo"/>
        <family val="0"/>
        <charset val="1"/>
      </rPr>
      <t xml:space="preserve">(FSC</t>
    </r>
    <r>
      <rPr>
        <sz val="10"/>
        <rFont val="WenQuanYi Zen Hei"/>
        <family val="2"/>
      </rPr>
      <t xml:space="preserve">尾鷲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</si>
  <si>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CD→AB</t>
    </r>
    <r>
      <rPr>
        <sz val="10"/>
        <rFont val="WenQuanYi Zen Hei"/>
        <family val="2"/>
      </rPr>
      <t xml:space="preserve">）</t>
    </r>
  </si>
  <si>
    <t xml:space="preserve">C</t>
  </si>
  <si>
    <t xml:space="preserve">B</t>
  </si>
  <si>
    <r>
      <rPr>
        <sz val="10"/>
        <rFont val="WenQuanYi Zen Hei"/>
        <family val="2"/>
      </rPr>
      <t xml:space="preserve">子商談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認証桧柾目材供給</t>
    </r>
    <r>
      <rPr>
        <sz val="10"/>
        <rFont val="Meiryo"/>
        <family val="0"/>
        <charset val="1"/>
      </rPr>
      <t xml:space="preserve">PJ_2</t>
    </r>
    <r>
      <rPr>
        <sz val="10"/>
        <rFont val="WenQuanYi Zen Hei"/>
        <family val="2"/>
      </rPr>
      <t xml:space="preserve">回目</t>
    </r>
    <r>
      <rPr>
        <sz val="10"/>
        <rFont val="Meiryo"/>
        <family val="0"/>
        <charset val="1"/>
      </rPr>
      <t xml:space="preserve">(SGEC</t>
    </r>
    <r>
      <rPr>
        <sz val="10"/>
        <rFont val="WenQuanYi Zen Hei"/>
        <family val="2"/>
      </rPr>
      <t xml:space="preserve">富士市</t>
    </r>
    <r>
      <rPr>
        <sz val="10"/>
        <rFont val="Meiryo"/>
        <family val="0"/>
        <charset val="1"/>
      </rPr>
      <t xml:space="preserve">)</t>
    </r>
  </si>
  <si>
    <t xml:space="preserve">A</t>
  </si>
  <si>
    <r>
      <rPr>
        <sz val="10"/>
        <rFont val="Meiryo"/>
        <family val="0"/>
        <charset val="1"/>
      </rPr>
      <t xml:space="preserve">ERIKOYAMAGUCHI_</t>
    </r>
    <r>
      <rPr>
        <sz val="10"/>
        <rFont val="WenQuanYi Zen Hei"/>
        <family val="2"/>
      </rPr>
      <t xml:space="preserve">名古屋</t>
    </r>
  </si>
  <si>
    <t xml:space="preserve">（新規）</t>
  </si>
  <si>
    <r>
      <rPr>
        <sz val="10"/>
        <rFont val="WenQuanYi Zen Hei"/>
        <family val="2"/>
      </rPr>
      <t xml:space="preserve">御殿場</t>
    </r>
    <r>
      <rPr>
        <sz val="10"/>
        <rFont val="Meiryo"/>
        <family val="0"/>
        <charset val="1"/>
      </rPr>
      <t xml:space="preserve">KEEN</t>
    </r>
    <r>
      <rPr>
        <sz val="10"/>
        <rFont val="WenQuanYi Zen Hei"/>
        <family val="2"/>
      </rPr>
      <t xml:space="preserve">店舗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カウンター用静岡県産半割丸太</t>
    </r>
  </si>
  <si>
    <t xml:space="preserve">建築</t>
  </si>
  <si>
    <t xml:space="preserve">枠材製作（材工）モックアップ製作</t>
  </si>
  <si>
    <r>
      <rPr>
        <sz val="10"/>
        <rFont val="Meiryo"/>
        <family val="0"/>
        <charset val="1"/>
      </rPr>
      <t xml:space="preserve">TRE</t>
    </r>
    <r>
      <rPr>
        <sz val="10"/>
        <rFont val="WenQuanYi Zen Hei"/>
        <family val="2"/>
      </rPr>
      <t xml:space="preserve">ホールディングス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丸太輪切り材</t>
    </r>
  </si>
  <si>
    <r>
      <rPr>
        <sz val="10"/>
        <rFont val="WenQuanYi Zen Hei"/>
        <family val="2"/>
      </rPr>
      <t xml:space="preserve">習志野カントリークラブ</t>
    </r>
    <r>
      <rPr>
        <sz val="10"/>
        <rFont val="Meiryo"/>
        <family val="0"/>
        <charset val="1"/>
      </rPr>
      <t xml:space="preserve">_VIP</t>
    </r>
    <r>
      <rPr>
        <sz val="10"/>
        <rFont val="WenQuanYi Zen Hei"/>
        <family val="2"/>
      </rPr>
      <t xml:space="preserve">ルーム黒柿</t>
    </r>
  </si>
  <si>
    <t xml:space="preserve">D</t>
  </si>
  <si>
    <r>
      <rPr>
        <sz val="10"/>
        <rFont val="WenQuanYi Zen Hei"/>
        <family val="2"/>
      </rPr>
      <t xml:space="preserve">水戸京成</t>
    </r>
    <r>
      <rPr>
        <sz val="10"/>
        <rFont val="Meiryo"/>
        <family val="0"/>
        <charset val="1"/>
      </rPr>
      <t xml:space="preserve">RLC</t>
    </r>
  </si>
  <si>
    <r>
      <rPr>
        <sz val="10"/>
        <rFont val="WenQuanYi Zen Hei"/>
        <family val="2"/>
      </rPr>
      <t xml:space="preserve">ロイヤル</t>
    </r>
    <r>
      <rPr>
        <sz val="10"/>
        <rFont val="Meiryo"/>
        <family val="0"/>
        <charset val="1"/>
      </rPr>
      <t xml:space="preserve">HD</t>
    </r>
    <r>
      <rPr>
        <sz val="10"/>
        <rFont val="WenQuanYi Zen Hei"/>
        <family val="2"/>
      </rPr>
      <t xml:space="preserve">本社工場直販店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福岡</t>
    </r>
    <r>
      <rPr>
        <sz val="10"/>
        <rFont val="Meiryo"/>
        <family val="0"/>
        <charset val="1"/>
      </rPr>
      <t xml:space="preserve">)_</t>
    </r>
    <r>
      <rPr>
        <sz val="10"/>
        <rFont val="WenQuanYi Zen Hei"/>
        <family val="2"/>
      </rPr>
      <t xml:space="preserve">既存樹活用（引上げ・製材・乾燥）</t>
    </r>
  </si>
  <si>
    <r>
      <rPr>
        <sz val="10"/>
        <rFont val="WenQuanYi Zen Hei"/>
        <family val="2"/>
      </rPr>
      <t xml:space="preserve">内閣府用木札</t>
    </r>
    <r>
      <rPr>
        <sz val="10"/>
        <rFont val="Meiryo"/>
        <family val="0"/>
        <charset val="1"/>
      </rPr>
      <t xml:space="preserve">_2026</t>
    </r>
  </si>
  <si>
    <t xml:space="preserve">外装用焼杉（羽目板）</t>
  </si>
  <si>
    <r>
      <rPr>
        <sz val="10"/>
        <rFont val="WenQuanYi Zen Hei"/>
        <family val="2"/>
      </rPr>
      <t xml:space="preserve">クリ巾ハギ材（小）</t>
    </r>
    <r>
      <rPr>
        <sz val="10"/>
        <rFont val="Meiryo"/>
        <family val="0"/>
        <charset val="1"/>
      </rPr>
      <t xml:space="preserve">_260924</t>
    </r>
    <r>
      <rPr>
        <sz val="10"/>
        <rFont val="WenQuanYi Zen Hei"/>
        <family val="2"/>
      </rPr>
      <t xml:space="preserve">分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発注</t>
    </r>
    <r>
      <rPr>
        <sz val="10"/>
        <rFont val="Meiryo"/>
        <family val="0"/>
        <charset val="1"/>
      </rPr>
      <t xml:space="preserve">No.PD-820</t>
    </r>
  </si>
  <si>
    <r>
      <rPr>
        <sz val="10"/>
        <rFont val="WenQuanYi Zen Hei"/>
        <family val="2"/>
      </rPr>
      <t xml:space="preserve">味の素本社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レストランフロア壁面オブジェ（追加作業）</t>
    </r>
  </si>
  <si>
    <t xml:space="preserve">ウッドチップ</t>
  </si>
  <si>
    <r>
      <rPr>
        <sz val="10"/>
        <rFont val="WenQuanYi Zen Hei"/>
        <family val="2"/>
      </rPr>
      <t xml:space="preserve">太閤向け</t>
    </r>
    <r>
      <rPr>
        <sz val="10"/>
        <rFont val="Meiryo"/>
        <family val="0"/>
        <charset val="1"/>
      </rPr>
      <t xml:space="preserve">FSC</t>
    </r>
    <r>
      <rPr>
        <sz val="10"/>
        <rFont val="WenQuanYi Zen Hei"/>
        <family val="2"/>
      </rPr>
      <t xml:space="preserve">ポプラ</t>
    </r>
    <r>
      <rPr>
        <sz val="10"/>
        <rFont val="Meiryo"/>
        <family val="0"/>
        <charset val="1"/>
      </rPr>
      <t xml:space="preserve">LVL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45x30x4000</t>
    </r>
    <r>
      <rPr>
        <sz val="10"/>
        <rFont val="WenQuanYi Zen Hei"/>
        <family val="2"/>
      </rPr>
      <t xml:space="preserve">）</t>
    </r>
    <r>
      <rPr>
        <sz val="10"/>
        <rFont val="Meiryo"/>
        <family val="0"/>
        <charset val="1"/>
      </rPr>
      <t xml:space="preserve">260917</t>
    </r>
  </si>
  <si>
    <r>
      <rPr>
        <sz val="10"/>
        <rFont val="WenQuanYi Zen Hei"/>
        <family val="2"/>
      </rPr>
      <t xml:space="preserve">新潟県新潟市石山</t>
    </r>
    <r>
      <rPr>
        <sz val="10"/>
        <rFont val="Meiryo"/>
        <family val="0"/>
        <charset val="1"/>
      </rPr>
      <t xml:space="preserve">PJ</t>
    </r>
  </si>
  <si>
    <r>
      <rPr>
        <sz val="10"/>
        <rFont val="WenQuanYi Zen Hei"/>
        <family val="2"/>
      </rPr>
      <t xml:space="preserve">日建設計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乃村工藝社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間伐材利用某サーキュラー案件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試作用</t>
    </r>
    <r>
      <rPr>
        <sz val="10"/>
        <rFont val="Meiryo"/>
        <family val="0"/>
        <charset val="1"/>
      </rPr>
      <t xml:space="preserve">eco</t>
    </r>
    <r>
      <rPr>
        <sz val="10"/>
        <rFont val="WenQuanYi Zen Hei"/>
        <family val="2"/>
      </rPr>
      <t xml:space="preserve">シラ合板</t>
    </r>
  </si>
  <si>
    <r>
      <rPr>
        <sz val="10"/>
        <rFont val="Meiryo"/>
        <family val="0"/>
        <charset val="1"/>
      </rPr>
      <t xml:space="preserve">J</t>
    </r>
    <r>
      <rPr>
        <sz val="10"/>
        <rFont val="WenQuanYi Zen Hei"/>
        <family val="2"/>
      </rPr>
      <t xml:space="preserve">パネル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枚　扉</t>
    </r>
  </si>
  <si>
    <t xml:space="preserve">藍建材サンプル</t>
  </si>
  <si>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PJ_⑤</t>
    </r>
    <r>
      <rPr>
        <sz val="10"/>
        <rFont val="WenQuanYi Zen Hei"/>
        <family val="2"/>
      </rPr>
      <t xml:space="preserve">記念品製造／バードコール＆写真フレーム</t>
    </r>
  </si>
  <si>
    <r>
      <rPr>
        <b val="true"/>
        <sz val="13"/>
        <color rgb="FF2C5F2D"/>
        <rFont val="Meiryo"/>
        <family val="0"/>
        <charset val="1"/>
      </rPr>
      <t xml:space="preserve">CD</t>
    </r>
    <r>
      <rPr>
        <b val="true"/>
        <sz val="13"/>
        <color rgb="FF2C5F2D"/>
        <rFont val="WenQuanYi Zen Hei"/>
        <family val="2"/>
      </rPr>
      <t xml:space="preserve">玉が動いた案件（</t>
    </r>
    <r>
      <rPr>
        <b val="true"/>
        <sz val="13"/>
        <color rgb="FF2C5F2D"/>
        <rFont val="Meiryo"/>
        <family val="0"/>
        <charset val="1"/>
      </rPr>
      <t xml:space="preserve">9/1 → 9</t>
    </r>
    <r>
      <rPr>
        <b val="true"/>
        <sz val="13"/>
        <color rgb="FF2C5F2D"/>
        <rFont val="WenQuanYi Zen Hei"/>
        <family val="2"/>
      </rPr>
      <t xml:space="preserve">月末）</t>
    </r>
  </si>
  <si>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玉＝確度</t>
    </r>
    <r>
      <rPr>
        <sz val="9"/>
        <color rgb="FF767676"/>
        <rFont val="Meiryo"/>
        <family val="0"/>
        <charset val="1"/>
      </rPr>
      <t xml:space="preserve">C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D </t>
    </r>
    <r>
      <rPr>
        <sz val="9"/>
        <color rgb="FF767676"/>
        <rFont val="WenQuanYi Zen Hei"/>
        <family val="2"/>
      </rPr>
      <t xml:space="preserve">かつ フェーズ≠</t>
    </r>
    <r>
      <rPr>
        <sz val="9"/>
        <color rgb="FF767676"/>
        <rFont val="Meiryo"/>
        <family val="0"/>
        <charset val="1"/>
      </rPr>
      <t xml:space="preserve">00_</t>
    </r>
    <r>
      <rPr>
        <sz val="9"/>
        <color rgb="FF767676"/>
        <rFont val="WenQuanYi Zen Hei"/>
        <family val="2"/>
      </rPr>
      <t xml:space="preserve">失注 かつ 完了予定日が</t>
    </r>
    <r>
      <rPr>
        <sz val="9"/>
        <color rgb="FF767676"/>
        <rFont val="Meiryo"/>
        <family val="0"/>
        <charset val="1"/>
      </rPr>
      <t xml:space="preserve">26</t>
    </r>
    <r>
      <rPr>
        <sz val="9"/>
        <color rgb="FF767676"/>
        <rFont val="WenQuanYi Zen Hei"/>
        <family val="2"/>
      </rPr>
      <t xml:space="preserve">年度内の金額。「確度</t>
    </r>
    <r>
      <rPr>
        <sz val="9"/>
        <color rgb="FF767676"/>
        <rFont val="Meiryo"/>
        <family val="0"/>
        <charset val="1"/>
      </rPr>
      <t xml:space="preserve">UP</t>
    </r>
    <r>
      <rPr>
        <sz val="9"/>
        <color rgb="FF767676"/>
        <rFont val="WenQuanYi Zen Hei"/>
        <family val="2"/>
      </rPr>
      <t xml:space="preserve">（</t>
    </r>
    <r>
      <rPr>
        <sz val="9"/>
        <color rgb="FF767676"/>
        <rFont val="Meiryo"/>
        <family val="0"/>
        <charset val="1"/>
      </rPr>
      <t xml:space="preserve">CD→AB</t>
    </r>
    <r>
      <rPr>
        <sz val="9"/>
        <color rgb="FF767676"/>
        <rFont val="WenQuanYi Zen Hei"/>
        <family val="2"/>
      </rPr>
      <t xml:space="preserve">）」は</t>
    </r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玉へ移ったぶんです。単位：千円。</t>
    </r>
  </si>
  <si>
    <r>
      <rPr>
        <b val="true"/>
        <sz val="10"/>
        <color rgb="FFFFFFFF"/>
        <rFont val="Meiryo"/>
        <family val="0"/>
        <charset val="1"/>
      </rPr>
      <t xml:space="preserve">9/1 CD</t>
    </r>
    <r>
      <rPr>
        <b val="true"/>
        <sz val="10"/>
        <color rgb="FFFFFFFF"/>
        <rFont val="WenQuanYi Zen Hei"/>
        <family val="2"/>
      </rPr>
      <t xml:space="preserve">玉</t>
    </r>
  </si>
  <si>
    <r>
      <rPr>
        <b val="true"/>
        <sz val="10"/>
        <color rgb="FFFFFFFF"/>
        <rFont val="Meiryo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月末 </t>
    </r>
    <r>
      <rPr>
        <b val="true"/>
        <sz val="10"/>
        <color rgb="FFFFFFFF"/>
        <rFont val="Meiryo"/>
        <family val="0"/>
        <charset val="1"/>
      </rPr>
      <t xml:space="preserve">CD</t>
    </r>
    <r>
      <rPr>
        <b val="true"/>
        <sz val="10"/>
        <color rgb="FFFFFFFF"/>
        <rFont val="WenQuanYi Zen Hei"/>
        <family val="2"/>
      </rPr>
      <t xml:space="preserve">玉</t>
    </r>
  </si>
  <si>
    <r>
      <rPr>
        <sz val="10"/>
        <rFont val="WenQuanYi Zen Hei"/>
        <family val="2"/>
      </rPr>
      <t xml:space="preserve">子商談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認証桧柾目材供給</t>
    </r>
    <r>
      <rPr>
        <sz val="10"/>
        <rFont val="Meiryo"/>
        <family val="0"/>
        <charset val="1"/>
      </rPr>
      <t xml:space="preserve">PJ_4</t>
    </r>
    <r>
      <rPr>
        <sz val="10"/>
        <rFont val="WenQuanYi Zen Hei"/>
        <family val="2"/>
      </rPr>
      <t xml:space="preserve">回目</t>
    </r>
    <r>
      <rPr>
        <sz val="10"/>
        <rFont val="Meiryo"/>
        <family val="0"/>
        <charset val="1"/>
      </rPr>
      <t xml:space="preserve">(SGEC</t>
    </r>
    <r>
      <rPr>
        <sz val="10"/>
        <rFont val="WenQuanYi Zen Hei"/>
        <family val="2"/>
      </rPr>
      <t xml:space="preserve">富士市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</si>
  <si>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高島屋</t>
    </r>
    <r>
      <rPr>
        <sz val="10"/>
        <rFont val="Meiryo"/>
        <family val="0"/>
        <charset val="1"/>
      </rPr>
      <t xml:space="preserve">SC_</t>
    </r>
    <r>
      <rPr>
        <sz val="10"/>
        <rFont val="WenQuanYi Zen Hei"/>
        <family val="2"/>
      </rPr>
      <t xml:space="preserve">船橋研修施設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床材</t>
    </r>
  </si>
  <si>
    <r>
      <rPr>
        <sz val="10"/>
        <rFont val="WenQuanYi Zen Hei"/>
        <family val="2"/>
      </rPr>
      <t xml:space="preserve">森林の仕事</t>
    </r>
    <r>
      <rPr>
        <sz val="10"/>
        <rFont val="Meiryo"/>
        <family val="0"/>
        <charset val="1"/>
      </rPr>
      <t xml:space="preserve">Park(</t>
    </r>
    <r>
      <rPr>
        <sz val="10"/>
        <rFont val="WenQuanYi Zen Hei"/>
        <family val="2"/>
      </rPr>
      <t xml:space="preserve">なんば</t>
    </r>
    <r>
      <rPr>
        <sz val="10"/>
        <rFont val="Meiryo"/>
        <family val="0"/>
        <charset val="1"/>
      </rPr>
      <t xml:space="preserve">)_</t>
    </r>
    <r>
      <rPr>
        <sz val="10"/>
        <rFont val="WenQuanYi Zen Hei"/>
        <family val="2"/>
      </rPr>
      <t xml:space="preserve">森の体感ブース設営</t>
    </r>
    <r>
      <rPr>
        <sz val="10"/>
        <rFont val="Meiryo"/>
        <family val="0"/>
        <charset val="1"/>
      </rPr>
      <t xml:space="preserve">R8</t>
    </r>
  </si>
  <si>
    <r>
      <rPr>
        <sz val="10"/>
        <rFont val="WenQuanYi Zen Hei"/>
        <family val="2"/>
      </rPr>
      <t xml:space="preserve">ららぽーと</t>
    </r>
    <r>
      <rPr>
        <sz val="10"/>
        <rFont val="Meiryo"/>
        <family val="0"/>
        <charset val="1"/>
      </rPr>
      <t xml:space="preserve">TOKYO-BAY_</t>
    </r>
    <r>
      <rPr>
        <sz val="10"/>
        <rFont val="WenQuanYi Zen Hei"/>
        <family val="2"/>
      </rPr>
      <t xml:space="preserve">ヤシの木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既存樹利用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本番</t>
    </r>
  </si>
  <si>
    <r>
      <rPr>
        <sz val="10"/>
        <rFont val="Meiryo"/>
        <family val="0"/>
        <charset val="1"/>
      </rPr>
      <t xml:space="preserve">3D</t>
    </r>
    <r>
      <rPr>
        <sz val="10"/>
        <rFont val="WenQuanYi Zen Hei"/>
        <family val="2"/>
      </rPr>
      <t xml:space="preserve">ベンチ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展示品</t>
    </r>
  </si>
  <si>
    <r>
      <rPr>
        <sz val="10"/>
        <rFont val="WenQuanYi Zen Hei"/>
        <family val="2"/>
      </rPr>
      <t xml:space="preserve">島根県東津田</t>
    </r>
    <r>
      <rPr>
        <sz val="10"/>
        <rFont val="Meiryo"/>
        <family val="0"/>
        <charset val="1"/>
      </rPr>
      <t xml:space="preserve">PJ</t>
    </r>
  </si>
  <si>
    <r>
      <rPr>
        <sz val="10"/>
        <rFont val="Meiryo"/>
        <family val="0"/>
        <charset val="1"/>
      </rPr>
      <t xml:space="preserve">HOTEL THE MITSUI_</t>
    </r>
    <r>
      <rPr>
        <sz val="10"/>
        <rFont val="WenQuanYi Zen Hei"/>
        <family val="2"/>
      </rPr>
      <t xml:space="preserve">補修</t>
    </r>
    <r>
      <rPr>
        <sz val="10"/>
        <rFont val="Meiryo"/>
        <family val="0"/>
        <charset val="1"/>
      </rPr>
      <t xml:space="preserve">_10</t>
    </r>
    <r>
      <rPr>
        <sz val="10"/>
        <rFont val="WenQuanYi Zen Hei"/>
        <family val="2"/>
      </rPr>
      <t xml:space="preserve">月</t>
    </r>
  </si>
  <si>
    <r>
      <rPr>
        <sz val="10"/>
        <rFont val="WenQuanYi Zen Hei"/>
        <family val="2"/>
      </rPr>
      <t xml:space="preserve">茨城県産材利用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某案件</t>
    </r>
  </si>
  <si>
    <r>
      <rPr>
        <sz val="10"/>
        <rFont val="WenQuanYi Zen Hei"/>
        <family val="2"/>
      </rPr>
      <t xml:space="preserve">銀座ミキモト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ドアハンドル</t>
    </r>
  </si>
  <si>
    <r>
      <rPr>
        <sz val="10"/>
        <rFont val="WenQuanYi Zen Hei"/>
        <family val="2"/>
      </rPr>
      <t xml:space="preserve">（仮称）ファインコート三鷹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三井不社有林利用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図面およびモックアップ作成フェーズ</t>
    </r>
  </si>
  <si>
    <r>
      <rPr>
        <sz val="10"/>
        <rFont val="WenQuanYi Zen Hei"/>
        <family val="2"/>
      </rPr>
      <t xml:space="preserve">味の素本社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アジパンダショップ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プライスカード立て（追加）</t>
    </r>
  </si>
  <si>
    <r>
      <rPr>
        <sz val="10"/>
        <rFont val="WenQuanYi Zen Hei"/>
        <family val="2"/>
      </rPr>
      <t xml:space="preserve">スターバックスロースタリー中目黒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プライスカード立て</t>
    </r>
  </si>
  <si>
    <r>
      <rPr>
        <sz val="10"/>
        <rFont val="Meiryo"/>
        <family val="0"/>
        <charset val="1"/>
      </rPr>
      <t xml:space="preserve">LINA WOOD_</t>
    </r>
    <r>
      <rPr>
        <sz val="10"/>
        <rFont val="WenQuanYi Zen Hei"/>
        <family val="2"/>
      </rPr>
      <t xml:space="preserve">ナラ</t>
    </r>
  </si>
  <si>
    <r>
      <rPr>
        <sz val="10"/>
        <rFont val="WenQuanYi Zen Hei"/>
        <family val="2"/>
      </rPr>
      <t xml:space="preserve">霞が関</t>
    </r>
    <r>
      <rPr>
        <sz val="10"/>
        <rFont val="Meiryo"/>
        <family val="0"/>
        <charset val="1"/>
      </rPr>
      <t xml:space="preserve">PJ</t>
    </r>
  </si>
  <si>
    <t xml:space="preserve">光円寺　寺院古材活用に向けた地蔵堂解体工事</t>
  </si>
  <si>
    <r>
      <rPr>
        <sz val="10"/>
        <rFont val="WenQuanYi Zen Hei"/>
        <family val="2"/>
      </rPr>
      <t xml:space="preserve">東急</t>
    </r>
    <r>
      <rPr>
        <sz val="10"/>
        <rFont val="Meiryo"/>
        <family val="0"/>
        <charset val="1"/>
      </rPr>
      <t xml:space="preserve">HVC</t>
    </r>
    <r>
      <rPr>
        <sz val="10"/>
        <rFont val="WenQuanYi Zen Hei"/>
        <family val="2"/>
      </rPr>
      <t xml:space="preserve">草津</t>
    </r>
    <r>
      <rPr>
        <sz val="10"/>
        <rFont val="Meiryo"/>
        <family val="0"/>
        <charset val="1"/>
      </rPr>
      <t xml:space="preserve">_FF&amp;E</t>
    </r>
  </si>
  <si>
    <r>
      <rPr>
        <sz val="10"/>
        <rFont val="WenQuanYi Zen Hei"/>
        <family val="2"/>
      </rPr>
      <t xml:space="preserve">沖縄県産材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椅子製作</t>
    </r>
  </si>
  <si>
    <t xml:space="preserve">都内タワーマンションフローリング</t>
  </si>
  <si>
    <r>
      <rPr>
        <b val="true"/>
        <sz val="13"/>
        <color rgb="FF2C5F2D"/>
        <rFont val="Meiryo"/>
        <family val="0"/>
        <charset val="1"/>
      </rPr>
      <t xml:space="preserve">9</t>
    </r>
    <r>
      <rPr>
        <b val="true"/>
        <sz val="13"/>
        <color rgb="FF2C5F2D"/>
        <rFont val="WenQuanYi Zen Hei"/>
        <family val="2"/>
      </rPr>
      <t xml:space="preserve">月に成約した案件（フェーズ → </t>
    </r>
    <r>
      <rPr>
        <b val="true"/>
        <sz val="13"/>
        <color rgb="FF2C5F2D"/>
        <rFont val="Meiryo"/>
        <family val="0"/>
        <charset val="1"/>
      </rPr>
      <t xml:space="preserve">07.</t>
    </r>
    <r>
      <rPr>
        <b val="true"/>
        <sz val="13"/>
        <color rgb="FF2C5F2D"/>
        <rFont val="WenQuanYi Zen Hei"/>
        <family val="2"/>
      </rPr>
      <t xml:space="preserve">成約）</t>
    </r>
  </si>
  <si>
    <r>
      <rPr>
        <sz val="9"/>
        <color rgb="FF767676"/>
        <rFont val="WenQuanYi Zen Hei"/>
        <family val="2"/>
      </rPr>
      <t xml:space="preserve">対象：コーデ</t>
    </r>
    <r>
      <rPr>
        <sz val="9"/>
        <color rgb="FF767676"/>
        <rFont val="Meiryo"/>
        <family val="0"/>
        <charset val="1"/>
      </rPr>
      <t xml:space="preserve">+TREEBATON </t>
    </r>
    <r>
      <rPr>
        <sz val="9"/>
        <color rgb="FF767676"/>
        <rFont val="WenQuanYi Zen Hei"/>
        <family val="2"/>
      </rPr>
      <t xml:space="preserve">／ 建築。単位：千円。</t>
    </r>
  </si>
  <si>
    <t xml:space="preserve">金額</t>
  </si>
  <si>
    <t xml:space="preserve">変更前フェーズ</t>
  </si>
  <si>
    <t xml:space="preserve">完了予定日</t>
  </si>
  <si>
    <r>
      <rPr>
        <sz val="10"/>
        <rFont val="WenQuanYi Zen Hei"/>
        <family val="2"/>
      </rPr>
      <t xml:space="preserve">アルジェニクスジャパン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オフィス家具</t>
    </r>
  </si>
  <si>
    <r>
      <rPr>
        <sz val="10"/>
        <rFont val="Meiryo"/>
        <family val="0"/>
        <charset val="1"/>
      </rPr>
      <t xml:space="preserve">01.</t>
    </r>
    <r>
      <rPr>
        <sz val="10"/>
        <rFont val="WenQuanYi Zen Hei"/>
        <family val="2"/>
      </rPr>
      <t xml:space="preserve">商談化</t>
    </r>
  </si>
  <si>
    <t xml:space="preserve">2026/12/30</t>
  </si>
  <si>
    <t xml:space="preserve">2026/09/02</t>
  </si>
  <si>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PJ_④</t>
    </r>
    <r>
      <rPr>
        <sz val="10"/>
        <rFont val="WenQuanYi Zen Hei"/>
        <family val="2"/>
      </rPr>
      <t xml:space="preserve">小サイン・林内ベンチ製造</t>
    </r>
  </si>
  <si>
    <r>
      <rPr>
        <sz val="10"/>
        <rFont val="Meiryo"/>
        <family val="0"/>
        <charset val="1"/>
      </rPr>
      <t xml:space="preserve">06.</t>
    </r>
    <r>
      <rPr>
        <sz val="10"/>
        <rFont val="WenQuanYi Zen Hei"/>
        <family val="2"/>
      </rPr>
      <t xml:space="preserve">契約手続き中</t>
    </r>
  </si>
  <si>
    <t xml:space="preserve">2026/09/11</t>
  </si>
  <si>
    <r>
      <rPr>
        <sz val="10"/>
        <rFont val="WenQuanYi Zen Hei"/>
        <family val="2"/>
      </rPr>
      <t xml:space="preserve">ホウライ様予算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</t>
    </r>
    <r>
      <rPr>
        <sz val="10"/>
        <rFont val="WenQuanYi Zen Hei"/>
        <family val="2"/>
      </rPr>
      <t xml:space="preserve">林内ベンチ製造</t>
    </r>
  </si>
  <si>
    <t xml:space="preserve">2026/09/03</t>
  </si>
  <si>
    <r>
      <rPr>
        <sz val="10"/>
        <rFont val="Meiryo"/>
        <family val="0"/>
        <charset val="1"/>
      </rPr>
      <t xml:space="preserve">CLT</t>
    </r>
    <r>
      <rPr>
        <sz val="10"/>
        <rFont val="WenQuanYi Zen Hei"/>
        <family val="2"/>
      </rPr>
      <t xml:space="preserve">試験材</t>
    </r>
  </si>
  <si>
    <t xml:space="preserve">2026/09/30</t>
  </si>
  <si>
    <t xml:space="preserve">2026/08/08</t>
  </si>
  <si>
    <t xml:space="preserve">2026/09/28</t>
  </si>
  <si>
    <t xml:space="preserve">2026/10/02</t>
  </si>
  <si>
    <t xml:space="preserve">2026/09/25</t>
  </si>
  <si>
    <t xml:space="preserve">2026/09/15</t>
  </si>
  <si>
    <t xml:space="preserve">2026/09/24</t>
  </si>
  <si>
    <r>
      <rPr>
        <b val="true"/>
        <sz val="13"/>
        <color rgb="FF2C5F2D"/>
        <rFont val="Meiryo"/>
        <family val="0"/>
        <charset val="1"/>
      </rPr>
      <t xml:space="preserve">9</t>
    </r>
    <r>
      <rPr>
        <b val="true"/>
        <sz val="13"/>
        <color rgb="FF2C5F2D"/>
        <rFont val="WenQuanYi Zen Hei"/>
        <family val="2"/>
      </rPr>
      <t xml:space="preserve">月に新規作成された商談</t>
    </r>
  </si>
  <si>
    <r>
      <rPr>
        <sz val="9"/>
        <color rgb="FF767676"/>
        <rFont val="WenQuanYi Zen Hei"/>
        <family val="2"/>
      </rPr>
      <t xml:space="preserve">対象：コーデ</t>
    </r>
    <r>
      <rPr>
        <sz val="9"/>
        <color rgb="FF767676"/>
        <rFont val="Meiryo"/>
        <family val="0"/>
        <charset val="1"/>
      </rPr>
      <t xml:space="preserve">+TREEBATON </t>
    </r>
    <r>
      <rPr>
        <sz val="9"/>
        <color rgb="FF767676"/>
        <rFont val="WenQuanYi Zen Hei"/>
        <family val="2"/>
      </rPr>
      <t xml:space="preserve">／ 建築。単位：千円。「金額未入力」は見込みに乗っていない案件です。</t>
    </r>
  </si>
  <si>
    <t xml:space="preserve">確度</t>
  </si>
  <si>
    <t xml:space="preserve">フェーズ</t>
  </si>
  <si>
    <t xml:space="preserve">完了予定</t>
  </si>
  <si>
    <t xml:space="preserve">金額未入力</t>
  </si>
  <si>
    <t xml:space="preserve">2026/12</t>
  </si>
  <si>
    <t xml:space="preserve">2027/03</t>
  </si>
  <si>
    <t xml:space="preserve">2026/11</t>
  </si>
  <si>
    <r>
      <rPr>
        <sz val="10"/>
        <rFont val="Meiryo"/>
        <family val="0"/>
        <charset val="1"/>
      </rPr>
      <t xml:space="preserve">05.</t>
    </r>
    <r>
      <rPr>
        <sz val="10"/>
        <rFont val="WenQuanYi Zen Hei"/>
        <family val="2"/>
      </rPr>
      <t xml:space="preserve">施工調整</t>
    </r>
  </si>
  <si>
    <t xml:space="preserve">2026/10</t>
  </si>
  <si>
    <t xml:space="preserve">2026/09</t>
  </si>
  <si>
    <r>
      <rPr>
        <sz val="10"/>
        <rFont val="Meiryo"/>
        <family val="0"/>
        <charset val="1"/>
      </rPr>
      <t xml:space="preserve">07.</t>
    </r>
    <r>
      <rPr>
        <sz val="10"/>
        <rFont val="WenQuanYi Zen Hei"/>
        <family val="2"/>
      </rPr>
      <t xml:space="preserve">成約</t>
    </r>
  </si>
  <si>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年度から継続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</t>
    </r>
    <r>
      <rPr>
        <sz val="10"/>
        <rFont val="WenQuanYi Zen Hei"/>
        <family val="2"/>
      </rPr>
      <t xml:space="preserve">アクリル板</t>
    </r>
    <r>
      <rPr>
        <sz val="10"/>
        <rFont val="Meiryo"/>
        <family val="0"/>
        <charset val="1"/>
      </rPr>
      <t xml:space="preserve">200</t>
    </r>
    <r>
      <rPr>
        <sz val="10"/>
        <rFont val="WenQuanYi Zen Hei"/>
        <family val="2"/>
      </rPr>
      <t xml:space="preserve">枚後納品分</t>
    </r>
  </si>
  <si>
    <t xml:space="preserve">2027/12</t>
  </si>
  <si>
    <r>
      <rPr>
        <sz val="10"/>
        <rFont val="WenQuanYi Zen Hei"/>
        <family val="2"/>
      </rPr>
      <t xml:space="preserve">サミット本社ビル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階改装</t>
    </r>
  </si>
  <si>
    <t xml:space="preserve">●</t>
  </si>
  <si>
    <r>
      <rPr>
        <sz val="10"/>
        <rFont val="WenQuanYi Zen Hei"/>
        <family val="2"/>
      </rPr>
      <t xml:space="preserve">ラーメン店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間仕切壁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不燃木材提案</t>
    </r>
  </si>
  <si>
    <t xml:space="preserve">2030/03</t>
  </si>
  <si>
    <r>
      <rPr>
        <sz val="10"/>
        <rFont val="WenQuanYi Zen Hei"/>
        <family val="2"/>
      </rPr>
      <t xml:space="preserve">池田山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既存樹アートオブジェ</t>
    </r>
  </si>
  <si>
    <r>
      <rPr>
        <sz val="10"/>
        <rFont val="WenQuanYi Zen Hei"/>
        <family val="2"/>
      </rPr>
      <t xml:space="preserve">三井不動産レジデンシャル</t>
    </r>
    <r>
      <rPr>
        <sz val="10"/>
        <rFont val="Meiryo"/>
        <family val="0"/>
        <charset val="1"/>
      </rPr>
      <t xml:space="preserve">_ChopValue</t>
    </r>
    <r>
      <rPr>
        <sz val="10"/>
        <rFont val="WenQuanYi Zen Hei"/>
        <family val="2"/>
      </rPr>
      <t xml:space="preserve">加工</t>
    </r>
  </si>
  <si>
    <t xml:space="preserve">2028/01</t>
  </si>
  <si>
    <r>
      <rPr>
        <sz val="10"/>
        <rFont val="Meiryo"/>
        <family val="0"/>
        <charset val="1"/>
      </rPr>
      <t xml:space="preserve">Fujitsu Technology Park</t>
    </r>
    <r>
      <rPr>
        <sz val="10"/>
        <rFont val="WenQuanYi Zen Hei"/>
        <family val="2"/>
      </rPr>
      <t xml:space="preserve">プロジェクト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既存樹活用（製作フェーズ）</t>
    </r>
  </si>
  <si>
    <t xml:space="preserve">2028/08</t>
  </si>
  <si>
    <r>
      <rPr>
        <sz val="10"/>
        <rFont val="WenQuanYi Zen Hei"/>
        <family val="2"/>
      </rPr>
      <t xml:space="preserve">花博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日比谷花壇ブース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ベンチ兼テーブル</t>
    </r>
  </si>
  <si>
    <r>
      <rPr>
        <sz val="10"/>
        <rFont val="WenQuanYi Zen Hei"/>
        <family val="2"/>
      </rPr>
      <t xml:space="preserve">多摩産材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飲食店カラトリ―什器</t>
    </r>
  </si>
  <si>
    <t xml:space="preserve">藍建材羽目板</t>
  </si>
  <si>
    <t xml:space="preserve">2027/02</t>
  </si>
  <si>
    <t xml:space="preserve">既存樹余り材活用プロジェクト</t>
  </si>
  <si>
    <t xml:space="preserve">2027/06</t>
  </si>
  <si>
    <r>
      <rPr>
        <sz val="10"/>
        <rFont val="WenQuanYi Zen Hei"/>
        <family val="2"/>
      </rPr>
      <t xml:space="preserve">世田谷飲食店</t>
    </r>
    <r>
      <rPr>
        <sz val="10"/>
        <rFont val="Meiryo"/>
        <family val="0"/>
        <charset val="1"/>
      </rPr>
      <t xml:space="preserve">_VE</t>
    </r>
    <r>
      <rPr>
        <sz val="10"/>
        <rFont val="WenQuanYi Zen Hei"/>
        <family val="2"/>
      </rPr>
      <t xml:space="preserve">提案壁材</t>
    </r>
  </si>
  <si>
    <r>
      <rPr>
        <sz val="10"/>
        <rFont val="Meiryo"/>
        <family val="0"/>
        <charset val="1"/>
      </rPr>
      <t xml:space="preserve">02.</t>
    </r>
    <r>
      <rPr>
        <sz val="10"/>
        <rFont val="WenQuanYi Zen Hei"/>
        <family val="2"/>
      </rPr>
      <t xml:space="preserve">提案</t>
    </r>
  </si>
  <si>
    <t xml:space="preserve">秋田県産ドアハンドル</t>
  </si>
  <si>
    <r>
      <rPr>
        <sz val="10"/>
        <rFont val="WenQuanYi Zen Hei"/>
        <family val="2"/>
      </rPr>
      <t xml:space="preserve">ホウライ様</t>
    </r>
    <r>
      <rPr>
        <sz val="10"/>
        <rFont val="Meiryo"/>
        <family val="0"/>
        <charset val="1"/>
      </rPr>
      <t xml:space="preserve">100</t>
    </r>
    <r>
      <rPr>
        <sz val="10"/>
        <rFont val="WenQuanYi Zen Hei"/>
        <family val="2"/>
      </rPr>
      <t xml:space="preserve">周年記念品</t>
    </r>
  </si>
  <si>
    <t xml:space="preserve">2027/09</t>
  </si>
  <si>
    <r>
      <rPr>
        <sz val="10"/>
        <rFont val="WenQuanYi Zen Hei"/>
        <family val="2"/>
      </rPr>
      <t xml:space="preserve">千葉県事業所内食堂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伐採木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ジェスモナイト天板製作</t>
    </r>
  </si>
  <si>
    <t xml:space="preserve">2028/03</t>
  </si>
  <si>
    <r>
      <rPr>
        <sz val="10"/>
        <rFont val="WenQuanYi Zen Hei"/>
        <family val="2"/>
      </rPr>
      <t xml:space="preserve">鷺沼駅前開発　既存樹活用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ソメイヨシノ・ノベルティ小物</t>
    </r>
    <r>
      <rPr>
        <sz val="10"/>
        <rFont val="Meiryo"/>
        <family val="0"/>
        <charset val="1"/>
      </rPr>
      <t xml:space="preserve">)</t>
    </r>
  </si>
  <si>
    <t xml:space="preserve">2035/03</t>
  </si>
  <si>
    <r>
      <rPr>
        <sz val="10"/>
        <rFont val="WenQuanYi Zen Hei"/>
        <family val="2"/>
      </rPr>
      <t xml:space="preserve">青森空港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地域材内装・什器</t>
    </r>
  </si>
  <si>
    <r>
      <rPr>
        <sz val="10"/>
        <rFont val="WenQuanYi Zen Hei"/>
        <family val="2"/>
      </rPr>
      <t xml:space="preserve">かつくら新宿高島屋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おくどんさん</t>
    </r>
  </si>
  <si>
    <r>
      <rPr>
        <sz val="10"/>
        <rFont val="WenQuanYi Zen Hei"/>
        <family val="2"/>
      </rPr>
      <t xml:space="preserve">滋賀県大津市</t>
    </r>
    <r>
      <rPr>
        <sz val="10"/>
        <rFont val="Meiryo"/>
        <family val="0"/>
        <charset val="1"/>
      </rPr>
      <t xml:space="preserve">PJ</t>
    </r>
  </si>
  <si>
    <t xml:space="preserve">2027/07</t>
  </si>
  <si>
    <r>
      <rPr>
        <sz val="10"/>
        <rFont val="WenQuanYi Zen Hei"/>
        <family val="2"/>
      </rPr>
      <t xml:space="preserve">千葉県商業施設改装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不燃木材</t>
    </r>
  </si>
  <si>
    <r>
      <rPr>
        <b val="true"/>
        <sz val="13"/>
        <color rgb="FF2C5F2D"/>
        <rFont val="Meiryo"/>
        <family val="0"/>
        <charset val="1"/>
      </rPr>
      <t xml:space="preserve">9</t>
    </r>
    <r>
      <rPr>
        <b val="true"/>
        <sz val="13"/>
        <color rgb="FF2C5F2D"/>
        <rFont val="WenQuanYi Zen Hei"/>
        <family val="2"/>
      </rPr>
      <t xml:space="preserve">月に失注した案件</t>
    </r>
  </si>
  <si>
    <r>
      <rPr>
        <sz val="9"/>
        <color rgb="FF767676"/>
        <rFont val="WenQuanYi Zen Hei"/>
        <family val="2"/>
      </rPr>
      <t xml:space="preserve">対象：コーデ</t>
    </r>
    <r>
      <rPr>
        <sz val="9"/>
        <color rgb="FF767676"/>
        <rFont val="Meiryo"/>
        <family val="0"/>
        <charset val="1"/>
      </rPr>
      <t xml:space="preserve">+TREEBATON </t>
    </r>
    <r>
      <rPr>
        <sz val="9"/>
        <color rgb="FF767676"/>
        <rFont val="WenQuanYi Zen Hei"/>
        <family val="2"/>
      </rPr>
      <t xml:space="preserve">／ 建築。単位：千円。いずれも確度</t>
    </r>
    <r>
      <rPr>
        <sz val="9"/>
        <color rgb="FF767676"/>
        <rFont val="Meiryo"/>
        <family val="0"/>
        <charset val="1"/>
      </rPr>
      <t xml:space="preserve">C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D</t>
    </r>
    <r>
      <rPr>
        <sz val="9"/>
        <color rgb="FF767676"/>
        <rFont val="WenQuanYi Zen Hei"/>
        <family val="2"/>
      </rPr>
      <t xml:space="preserve">のため</t>
    </r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玉への影響はありません。</t>
    </r>
  </si>
  <si>
    <t xml:space="preserve">失注前フェーズ</t>
  </si>
  <si>
    <r>
      <rPr>
        <sz val="10"/>
        <rFont val="WenQuanYi Zen Hei"/>
        <family val="2"/>
      </rPr>
      <t xml:space="preserve">造作家具用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国産合板</t>
    </r>
  </si>
  <si>
    <r>
      <rPr>
        <sz val="10"/>
        <rFont val="WenQuanYi Zen Hei"/>
        <family val="2"/>
      </rPr>
      <t xml:space="preserve">群馬ホテルリノベーション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なぐりフローリング特注色</t>
    </r>
  </si>
  <si>
    <r>
      <rPr>
        <sz val="10"/>
        <rFont val="WenQuanYi Zen Hei"/>
        <family val="2"/>
      </rPr>
      <t xml:space="preserve">カトリック上野教会</t>
    </r>
    <r>
      <rPr>
        <sz val="10"/>
        <rFont val="Meiryo"/>
        <family val="0"/>
        <charset val="1"/>
      </rPr>
      <t xml:space="preserve">_Emma</t>
    </r>
  </si>
  <si>
    <t xml:space="preserve">グラフ用データ（サマリーのグラフが参照します）</t>
  </si>
  <si>
    <r>
      <rPr>
        <sz val="9"/>
        <color rgb="FF767676"/>
        <rFont val="WenQuanYi Zen Hei"/>
        <family val="2"/>
      </rPr>
      <t xml:space="preserve">青字＝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スナップショットからの入力。黒字＝増減明細シートからの自動計算。単位：千円。</t>
    </r>
  </si>
  <si>
    <t xml:space="preserve">区分</t>
  </si>
  <si>
    <r>
      <rPr>
        <b val="true"/>
        <sz val="10"/>
        <color rgb="FFFFFFFF"/>
        <rFont val="Meiryo"/>
        <family val="0"/>
        <charset val="1"/>
      </rPr>
      <t xml:space="preserve">AB</t>
    </r>
    <r>
      <rPr>
        <b val="true"/>
        <sz val="10"/>
        <color rgb="FFFFFFFF"/>
        <rFont val="WenQuanYi Zen Hei"/>
        <family val="2"/>
      </rPr>
      <t xml:space="preserve">玉</t>
    </r>
  </si>
  <si>
    <r>
      <rPr>
        <b val="true"/>
        <sz val="10"/>
        <color rgb="FFFFFFFF"/>
        <rFont val="Meiryo"/>
        <family val="0"/>
        <charset val="1"/>
      </rPr>
      <t xml:space="preserve">CD</t>
    </r>
    <r>
      <rPr>
        <b val="true"/>
        <sz val="10"/>
        <color rgb="FFFFFFFF"/>
        <rFont val="WenQuanYi Zen Hei"/>
        <family val="2"/>
      </rPr>
      <t xml:space="preserve">玉</t>
    </r>
  </si>
  <si>
    <t xml:space="preserve">長期玉</t>
  </si>
  <si>
    <r>
      <rPr>
        <b val="true"/>
        <sz val="10"/>
        <color rgb="FFFFFFFF"/>
        <rFont val="Meiryo"/>
        <family val="0"/>
        <charset val="1"/>
      </rPr>
      <t xml:space="preserve">ABCD</t>
    </r>
    <r>
      <rPr>
        <b val="true"/>
        <sz val="10"/>
        <color rgb="FFFFFFFF"/>
        <rFont val="WenQuanYi Zen Hei"/>
        <family val="2"/>
      </rPr>
      <t xml:space="preserve">総玉</t>
    </r>
  </si>
  <si>
    <r>
      <rPr>
        <b val="true"/>
        <sz val="10"/>
        <rFont val="Meiryo"/>
        <family val="0"/>
        <charset val="1"/>
      </rPr>
      <t xml:space="preserve">9/1 </t>
    </r>
    <r>
      <rPr>
        <b val="true"/>
        <sz val="10"/>
        <rFont val="WenQuanYi Zen Hei"/>
        <family val="2"/>
      </rPr>
      <t xml:space="preserve">時点</t>
    </r>
  </si>
  <si>
    <r>
      <rPr>
        <b val="true"/>
        <sz val="10"/>
        <rFont val="Meiryo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月末 時点</t>
    </r>
  </si>
  <si>
    <r>
      <rPr>
        <b val="true"/>
        <sz val="10"/>
        <color rgb="FF2C5F2D"/>
        <rFont val="Meiryo"/>
        <family val="0"/>
        <charset val="1"/>
      </rPr>
      <t xml:space="preserve">AB</t>
    </r>
    <r>
      <rPr>
        <b val="true"/>
        <sz val="10"/>
        <color rgb="FF2C5F2D"/>
        <rFont val="WenQuanYi Zen Hei"/>
        <family val="2"/>
      </rPr>
      <t xml:space="preserve">玉 増加の内訳（プラス要因）</t>
    </r>
  </si>
  <si>
    <t xml:space="preserve">その他（失注から復活＋増額）</t>
  </si>
  <si>
    <t xml:space="preserve">（参考）減額</t>
  </si>
  <si>
    <r>
      <rPr>
        <b val="true"/>
        <sz val="10"/>
        <color rgb="FF2C5F2D"/>
        <rFont val="Meiryo"/>
        <family val="0"/>
        <charset val="1"/>
      </rPr>
      <t xml:space="preserve">CD</t>
    </r>
    <r>
      <rPr>
        <b val="true"/>
        <sz val="10"/>
        <color rgb="FF2C5F2D"/>
        <rFont val="WenQuanYi Zen Hei"/>
        <family val="2"/>
      </rPr>
      <t xml:space="preserve">玉 増加要因</t>
    </r>
  </si>
  <si>
    <r>
      <rPr>
        <b val="true"/>
        <sz val="10"/>
        <color rgb="FFB04A3C"/>
        <rFont val="Meiryo"/>
        <family val="0"/>
        <charset val="1"/>
      </rPr>
      <t xml:space="preserve">CD</t>
    </r>
    <r>
      <rPr>
        <b val="true"/>
        <sz val="10"/>
        <color rgb="FFB04A3C"/>
        <rFont val="WenQuanYi Zen Hei"/>
        <family val="2"/>
      </rPr>
      <t xml:space="preserve">玉 減少要因（絶対値）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</si>
  <si>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玉へ移動）</t>
    </r>
  </si>
  <si>
    <t xml:space="preserve">算出方法と注意点</t>
  </si>
  <si>
    <t xml:space="preserve">■ 対象</t>
  </si>
  <si>
    <t xml:space="preserve">レコードタイプ</t>
  </si>
  <si>
    <r>
      <rPr>
        <sz val="10"/>
        <rFont val="WenQuanYi Zen Hei"/>
        <family val="2"/>
      </rPr>
      <t xml:space="preserve">木材コーディネート／</t>
    </r>
    <r>
      <rPr>
        <sz val="10"/>
        <rFont val="Meiryo"/>
        <family val="0"/>
        <charset val="1"/>
      </rPr>
      <t xml:space="preserve">TREEBATON</t>
    </r>
    <r>
      <rPr>
        <sz val="10"/>
        <rFont val="WenQuanYi Zen Hei"/>
        <family val="2"/>
      </rPr>
      <t xml:space="preserve">／建築案件。</t>
    </r>
    <r>
      <rPr>
        <sz val="10"/>
        <rFont val="Meiryo"/>
        <family val="0"/>
        <charset val="1"/>
      </rPr>
      <t xml:space="preserve">OEM</t>
    </r>
    <r>
      <rPr>
        <sz val="10"/>
        <rFont val="WenQuanYi Zen Hei"/>
        <family val="2"/>
      </rPr>
      <t xml:space="preserve">・森林認証コンサル・受託事業は対象外</t>
    </r>
  </si>
  <si>
    <t xml:space="preserve">期間</t>
  </si>
  <si>
    <r>
      <rPr>
        <sz val="10"/>
        <rFont val="Meiryo"/>
        <family val="0"/>
        <charset val="1"/>
      </rPr>
      <t xml:space="preserve">2026/09/01 10:26 </t>
    </r>
    <r>
      <rPr>
        <sz val="10"/>
        <rFont val="WenQuanYi Zen Hei"/>
        <family val="2"/>
      </rPr>
      <t xml:space="preserve">〜 </t>
    </r>
    <r>
      <rPr>
        <sz val="10"/>
        <rFont val="Meiryo"/>
        <family val="0"/>
        <charset val="1"/>
      </rPr>
      <t xml:space="preserve">2026/09/28 15:37</t>
    </r>
    <r>
      <rPr>
        <sz val="10"/>
        <rFont val="WenQuanYi Zen Hei"/>
        <family val="2"/>
      </rPr>
      <t xml:space="preserve">。</t>
    </r>
    <r>
      <rPr>
        <sz val="10"/>
        <rFont val="Meiryo"/>
        <family val="0"/>
        <charset val="1"/>
      </rPr>
      <t xml:space="preserve">9/29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9/30</t>
    </r>
    <r>
      <rPr>
        <sz val="10"/>
        <rFont val="WenQuanYi Zen Hei"/>
        <family val="2"/>
      </rPr>
      <t xml:space="preserve">の動きは含まれていません</t>
    </r>
  </si>
  <si>
    <t xml:space="preserve">除外</t>
  </si>
  <si>
    <t xml:space="preserve">＊原価管理用＊ を含む商談</t>
  </si>
  <si>
    <t xml:space="preserve">■ 定義</t>
  </si>
  <si>
    <r>
      <rPr>
        <b val="true"/>
        <sz val="10"/>
        <color rgb="FF1A1A1A"/>
        <rFont val="Meiryo"/>
        <family val="0"/>
        <charset val="1"/>
      </rPr>
      <t xml:space="preserve">ABCD</t>
    </r>
    <r>
      <rPr>
        <b val="true"/>
        <sz val="10"/>
        <color rgb="FF1A1A1A"/>
        <rFont val="WenQuanYi Zen Hei"/>
        <family val="2"/>
      </rPr>
      <t xml:space="preserve">総玉</t>
    </r>
  </si>
  <si>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 ＋ 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 ＋ 長期玉。フェーズ≠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 かつ 完了予定日が</t>
    </r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2026/04/01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2027/03/31</t>
    </r>
    <r>
      <rPr>
        <sz val="10"/>
        <rFont val="WenQuanYi Zen Hei"/>
        <family val="2"/>
      </rPr>
      <t xml:space="preserve">）内</t>
    </r>
  </si>
  <si>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玉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</si>
  <si>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。成約済み（フェーズ</t>
    </r>
    <r>
      <rPr>
        <sz val="10"/>
        <rFont val="Meiryo"/>
        <family val="0"/>
        <charset val="1"/>
      </rPr>
      <t xml:space="preserve">07</t>
    </r>
    <r>
      <rPr>
        <sz val="10"/>
        <rFont val="WenQuanYi Zen Hei"/>
        <family val="2"/>
      </rPr>
      <t xml:space="preserve">）も含む</t>
    </r>
  </si>
  <si>
    <r>
      <rPr>
        <b val="true"/>
        <sz val="10"/>
        <color rgb="FF1A1A1A"/>
        <rFont val="Meiryo"/>
        <family val="0"/>
        <charset val="1"/>
      </rPr>
      <t xml:space="preserve">CD</t>
    </r>
    <r>
      <rPr>
        <b val="true"/>
        <sz val="10"/>
        <color rgb="FF1A1A1A"/>
        <rFont val="WenQuanYi Zen Hei"/>
        <family val="2"/>
      </rPr>
      <t xml:space="preserve">玉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</si>
  <si>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</t>
    </r>
  </si>
  <si>
    <r>
      <rPr>
        <sz val="10"/>
        <rFont val="WenQuanYi Zen Hei"/>
        <family val="2"/>
      </rPr>
      <t xml:space="preserve">確度「長期」。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月は動きなし（</t>
    </r>
    <r>
      <rPr>
        <sz val="10"/>
        <rFont val="Meiryo"/>
        <family val="0"/>
        <charset val="1"/>
      </rPr>
      <t xml:space="preserve">300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</si>
  <si>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color rgb="FF1A1A1A"/>
        <rFont val="WenQuanYi Zen Hei"/>
        <family val="2"/>
      </rPr>
      <t xml:space="preserve">確度</t>
    </r>
    <r>
      <rPr>
        <b val="true"/>
        <sz val="10"/>
        <color rgb="FF1A1A1A"/>
        <rFont val="Meiryo"/>
        <family val="0"/>
        <charset val="1"/>
      </rPr>
      <t xml:space="preserve">UP</t>
    </r>
    <r>
      <rPr>
        <b val="true"/>
        <sz val="10"/>
        <color rgb="FF1A1A1A"/>
        <rFont val="WenQuanYi Zen Hei"/>
        <family val="2"/>
      </rPr>
      <t xml:space="preserve">（</t>
    </r>
    <r>
      <rPr>
        <b val="true"/>
        <sz val="10"/>
        <color rgb="FF1A1A1A"/>
        <rFont val="Meiryo"/>
        <family val="0"/>
        <charset val="1"/>
      </rPr>
      <t xml:space="preserve">CD→AB</t>
    </r>
    <r>
      <rPr>
        <b val="true"/>
        <sz val="10"/>
        <color rgb="FF1A1A1A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</si>
  <si>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9/1</t>
    </r>
    <r>
      <rPr>
        <sz val="10"/>
        <rFont val="WenQuanYi Zen Hei"/>
        <family val="2"/>
      </rPr>
      <t xml:space="preserve">は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月末は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になったもの。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玉からは減り、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玉には増える</t>
    </r>
  </si>
  <si>
    <t xml:space="preserve">■ 数字の作り方</t>
  </si>
  <si>
    <r>
      <rPr>
        <b val="true"/>
        <sz val="10"/>
        <color rgb="FF1A1A1A"/>
        <rFont val="Meiryo"/>
        <family val="0"/>
        <charset val="1"/>
      </rPr>
      <t xml:space="preserve">9</t>
    </r>
    <r>
      <rPr>
        <b val="true"/>
        <sz val="10"/>
        <color rgb="FF1A1A1A"/>
        <rFont val="WenQuanYi Zen Hei"/>
        <family val="2"/>
      </rPr>
      <t xml:space="preserve">月末 時点</t>
    </r>
  </si>
  <si>
    <r>
      <rPr>
        <sz val="10"/>
        <rFont val="Meiryo"/>
        <family val="0"/>
        <charset val="1"/>
      </rPr>
      <t xml:space="preserve">2026/10/05 </t>
    </r>
    <r>
      <rPr>
        <sz val="10"/>
        <rFont val="WenQuanYi Zen Hei"/>
        <family val="2"/>
      </rPr>
      <t xml:space="preserve">の</t>
    </r>
    <r>
      <rPr>
        <sz val="10"/>
        <rFont val="Meiryo"/>
        <family val="0"/>
        <charset val="1"/>
      </rPr>
      <t xml:space="preserve">SF</t>
    </r>
    <r>
      <rPr>
        <sz val="10"/>
        <rFont val="WenQuanYi Zen Hei"/>
        <family val="2"/>
      </rPr>
      <t xml:space="preserve">スナップショット（★コーデ</t>
    </r>
    <r>
      <rPr>
        <sz val="10"/>
        <rFont val="Meiryo"/>
        <family val="0"/>
        <charset val="1"/>
      </rPr>
      <t xml:space="preserve">TB_</t>
    </r>
    <r>
      <rPr>
        <sz val="10"/>
        <rFont val="WenQuanYi Zen Hei"/>
        <family val="2"/>
      </rPr>
      <t xml:space="preserve">総商談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通期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 </t>
    </r>
    <r>
      <rPr>
        <sz val="10"/>
        <rFont val="Meiryo"/>
        <family val="0"/>
        <charset val="1"/>
      </rPr>
      <t xml:space="preserve">235</t>
    </r>
    <r>
      <rPr>
        <sz val="10"/>
        <rFont val="WenQuanYi Zen Hei"/>
        <family val="2"/>
      </rPr>
      <t xml:space="preserve">件）。</t>
    </r>
    <r>
      <rPr>
        <sz val="10"/>
        <rFont val="Meiryo"/>
        <family val="0"/>
        <charset val="1"/>
      </rPr>
      <t xml:space="preserve">9/29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10/5</t>
    </r>
    <r>
      <rPr>
        <sz val="10"/>
        <rFont val="WenQuanYi Zen Hei"/>
        <family val="2"/>
      </rPr>
      <t xml:space="preserve">の変更は未取得のため同じとみなしています</t>
    </r>
  </si>
  <si>
    <r>
      <rPr>
        <b val="true"/>
        <sz val="10"/>
        <color rgb="FF1A1A1A"/>
        <rFont val="Meiryo"/>
        <family val="0"/>
        <charset val="1"/>
      </rPr>
      <t xml:space="preserve">9/1 </t>
    </r>
    <r>
      <rPr>
        <b val="true"/>
        <sz val="10"/>
        <color rgb="FF1A1A1A"/>
        <rFont val="WenQuanYi Zen Hei"/>
        <family val="2"/>
      </rPr>
      <t xml:space="preserve">時点</t>
    </r>
  </si>
  <si>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月末 時点 − 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月の増減 で逆算</t>
    </r>
  </si>
  <si>
    <r>
      <rPr>
        <b val="true"/>
        <sz val="10"/>
        <color rgb="FF1A1A1A"/>
        <rFont val="Meiryo"/>
        <family val="0"/>
        <charset val="1"/>
      </rPr>
      <t xml:space="preserve">9</t>
    </r>
    <r>
      <rPr>
        <b val="true"/>
        <sz val="10"/>
        <color rgb="FF1A1A1A"/>
        <rFont val="WenQuanYi Zen Hei"/>
        <family val="2"/>
      </rPr>
      <t xml:space="preserve">月の増減</t>
    </r>
  </si>
  <si>
    <r>
      <rPr>
        <sz val="10"/>
        <rFont val="Meiryo"/>
        <family val="0"/>
        <charset val="1"/>
      </rPr>
      <t xml:space="preserve">SF</t>
    </r>
    <r>
      <rPr>
        <sz val="10"/>
        <rFont val="WenQuanYi Zen Hei"/>
        <family val="2"/>
      </rPr>
      <t xml:space="preserve">の商談変更履歴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本（</t>
    </r>
    <r>
      <rPr>
        <sz val="10"/>
        <rFont val="Meiryo"/>
        <family val="0"/>
        <charset val="1"/>
      </rPr>
      <t xml:space="preserve">09/01-09/08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09/08-09/14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09/14-09/28</t>
    </r>
    <r>
      <rPr>
        <sz val="10"/>
        <rFont val="WenQuanYi Zen Hei"/>
        <family val="2"/>
      </rPr>
      <t xml:space="preserve">）</t>
    </r>
    <r>
      <rPr>
        <sz val="10"/>
        <rFont val="Meiryo"/>
        <family val="0"/>
        <charset val="1"/>
      </rPr>
      <t xml:space="preserve">405</t>
    </r>
    <r>
      <rPr>
        <sz val="10"/>
        <rFont val="WenQuanYi Zen Hei"/>
        <family val="2"/>
      </rPr>
      <t xml:space="preserve">件を時系列で再生</t>
    </r>
  </si>
  <si>
    <r>
      <rPr>
        <b val="true"/>
        <sz val="10"/>
        <color rgb="FF1A1A1A"/>
        <rFont val="Meiryo"/>
        <family val="0"/>
        <charset val="1"/>
      </rPr>
      <t xml:space="preserve">9/1</t>
    </r>
    <r>
      <rPr>
        <b val="true"/>
        <sz val="10"/>
        <color rgb="FF1A1A1A"/>
        <rFont val="WenQuanYi Zen Hei"/>
        <family val="2"/>
      </rPr>
      <t xml:space="preserve">時点の各項目</t>
    </r>
  </si>
  <si>
    <t xml:space="preserve">現在値から変更チェーンを逆向きに辿って復元（元の値→新しい値のループに対応）</t>
  </si>
  <si>
    <t xml:space="preserve">重複</t>
  </si>
  <si>
    <t xml:space="preserve">ファイル間で重なる期間の同一変更は除外済み</t>
  </si>
  <si>
    <t xml:space="preserve">■ グラフ</t>
  </si>
  <si>
    <t xml:space="preserve">配色</t>
  </si>
  <si>
    <r>
      <rPr>
        <sz val="10"/>
        <rFont val="WenQuanYi Zen Hei"/>
        <family val="2"/>
      </rPr>
      <t xml:space="preserve">色覚多様性に配慮した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色（</t>
    </r>
    <r>
      <rPr>
        <sz val="10"/>
        <rFont val="Meiryo"/>
        <family val="0"/>
        <charset val="1"/>
      </rPr>
      <t xml:space="preserve">CVD</t>
    </r>
    <r>
      <rPr>
        <sz val="10"/>
        <rFont val="WenQuanYi Zen Hei"/>
        <family val="2"/>
      </rPr>
      <t xml:space="preserve">分離 </t>
    </r>
    <r>
      <rPr>
        <sz val="10"/>
        <rFont val="Meiryo"/>
        <family val="0"/>
        <charset val="1"/>
      </rPr>
      <t xml:space="preserve">ΔE 12.9 </t>
    </r>
    <r>
      <rPr>
        <sz val="10"/>
        <rFont val="WenQuanYi Zen Hei"/>
        <family val="2"/>
      </rPr>
      <t xml:space="preserve">で検証済み）。すべてのグラフにデータラベルを表示</t>
    </r>
  </si>
  <si>
    <t xml:space="preserve">参照先</t>
  </si>
  <si>
    <t xml:space="preserve">「グラフ用データ」シート。増減明細シートから自動計算されます</t>
  </si>
  <si>
    <t xml:space="preserve">■ 注意点</t>
  </si>
  <si>
    <t xml:space="preserve">建築の絶対値</t>
  </si>
  <si>
    <r>
      <rPr>
        <sz val="10"/>
        <rFont val="WenQuanYi Zen Hei"/>
        <family val="2"/>
      </rPr>
      <t xml:space="preserve">★コーデ</t>
    </r>
    <r>
      <rPr>
        <sz val="10"/>
        <rFont val="Meiryo"/>
        <family val="0"/>
        <charset val="1"/>
      </rPr>
      <t xml:space="preserve">TB</t>
    </r>
    <r>
      <rPr>
        <sz val="10"/>
        <rFont val="WenQuanYi Zen Hei"/>
        <family val="2"/>
      </rPr>
      <t xml:space="preserve">レポートに含まれないため未取得。建築の通期レポートがあれば同じ形で出せます</t>
    </r>
  </si>
  <si>
    <r>
      <rPr>
        <b val="true"/>
        <sz val="10"/>
        <color rgb="FF1A1A1A"/>
        <rFont val="Meiryo"/>
        <family val="0"/>
        <charset val="1"/>
      </rPr>
      <t xml:space="preserve">9/29</t>
    </r>
    <r>
      <rPr>
        <b val="true"/>
        <sz val="10"/>
        <color rgb="FF1A1A1A"/>
        <rFont val="WenQuanYi Zen Hei"/>
        <family val="2"/>
      </rPr>
      <t xml:space="preserve">・</t>
    </r>
    <r>
      <rPr>
        <b val="true"/>
        <sz val="10"/>
        <color rgb="FF1A1A1A"/>
        <rFont val="Meiryo"/>
        <family val="0"/>
        <charset val="1"/>
      </rPr>
      <t xml:space="preserve">9/30</t>
    </r>
  </si>
  <si>
    <r>
      <rPr>
        <sz val="10"/>
        <rFont val="WenQuanYi Zen Hei"/>
        <family val="2"/>
      </rPr>
      <t xml:space="preserve">変更履歴が未取得。厳密には「</t>
    </r>
    <r>
      <rPr>
        <sz val="10"/>
        <rFont val="Meiryo"/>
        <family val="0"/>
        <charset val="1"/>
      </rPr>
      <t xml:space="preserve">9/28</t>
    </r>
    <r>
      <rPr>
        <sz val="10"/>
        <rFont val="WenQuanYi Zen Hei"/>
        <family val="2"/>
      </rPr>
      <t xml:space="preserve">時点」です</t>
    </r>
  </si>
  <si>
    <r>
      <rPr>
        <sz val="10"/>
        <rFont val="WenQuanYi Zen Hei"/>
        <family val="2"/>
      </rPr>
      <t xml:space="preserve">新規</t>
    </r>
    <r>
      <rPr>
        <sz val="10"/>
        <rFont val="Meiryo"/>
        <family val="0"/>
        <charset val="1"/>
      </rPr>
      <t xml:space="preserve">38</t>
    </r>
    <r>
      <rPr>
        <sz val="10"/>
        <rFont val="WenQuanYi Zen Hei"/>
        <family val="2"/>
      </rPr>
      <t xml:space="preserve">件のうち</t>
    </r>
    <r>
      <rPr>
        <sz val="10"/>
        <rFont val="Meiryo"/>
        <family val="0"/>
        <charset val="1"/>
      </rPr>
      <t xml:space="preserve">18</t>
    </r>
    <r>
      <rPr>
        <sz val="10"/>
        <rFont val="WenQuanYi Zen Hei"/>
        <family val="2"/>
      </rPr>
      <t xml:space="preserve">件（</t>
    </r>
    <r>
      <rPr>
        <sz val="10"/>
        <rFont val="Meiryo"/>
        <family val="0"/>
        <charset val="1"/>
      </rPr>
      <t xml:space="preserve">47%</t>
    </r>
    <r>
      <rPr>
        <sz val="10"/>
        <rFont val="WenQuanYi Zen Hei"/>
        <family val="2"/>
      </rPr>
      <t xml:space="preserve">）が金額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。見込みに乗っていない</t>
    </r>
  </si>
  <si>
    <t xml:space="preserve">集中度</t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</si>
  <si>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の</t>
    </r>
    <r>
      <rPr>
        <sz val="10"/>
        <rFont val="Meiryo"/>
        <family val="0"/>
        <charset val="1"/>
      </rPr>
      <t xml:space="preserve">91%</t>
    </r>
    <r>
      <rPr>
        <sz val="10"/>
        <rFont val="WenQuanYi Zen Hei"/>
        <family val="2"/>
      </rPr>
      <t xml:space="preserve">が認証桧柾目材供給</t>
    </r>
    <r>
      <rPr>
        <sz val="10"/>
        <rFont val="Meiryo"/>
        <family val="0"/>
        <charset val="1"/>
      </rPr>
      <t xml:space="preserve">PJ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回目＋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回目）の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件／成約の</t>
    </r>
    <r>
      <rPr>
        <sz val="10"/>
        <rFont val="Meiryo"/>
        <family val="0"/>
        <charset val="1"/>
      </rPr>
      <t xml:space="preserve">44%</t>
    </r>
    <r>
      <rPr>
        <sz val="10"/>
        <rFont val="WenQuanYi Zen Hei"/>
        <family val="2"/>
      </rPr>
      <t xml:space="preserve">が千本松牧場</t>
    </r>
    <r>
      <rPr>
        <sz val="10"/>
        <rFont val="Meiryo"/>
        <family val="0"/>
        <charset val="1"/>
      </rPr>
      <t xml:space="preserve">PJ</t>
    </r>
    <r>
      <rPr>
        <sz val="10"/>
        <rFont val="WenQuanYi Zen Hei"/>
        <family val="2"/>
      </rPr>
      <t xml:space="preserve">の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件</t>
    </r>
  </si>
  <si>
    <r>
      <rPr>
        <b val="true"/>
        <sz val="10"/>
        <color rgb="FF1A1A1A"/>
        <rFont val="Meiryo"/>
        <family val="0"/>
        <charset val="1"/>
      </rPr>
      <t xml:space="preserve">ATONA_</t>
    </r>
    <r>
      <rPr>
        <b val="true"/>
        <sz val="10"/>
        <color rgb="FF1A1A1A"/>
        <rFont val="WenQuanYi Zen Hei"/>
        <family val="2"/>
      </rPr>
      <t xml:space="preserve">京都</t>
    </r>
    <r>
      <rPr>
        <b val="true"/>
        <sz val="10"/>
        <color rgb="FF1A1A1A"/>
        <rFont val="Meiryo"/>
        <family val="0"/>
        <charset val="1"/>
      </rPr>
      <t xml:space="preserve">_FFE</t>
    </r>
  </si>
  <si>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月中に金額が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と</t>
    </r>
    <r>
      <rPr>
        <sz val="10"/>
        <rFont val="Meiryo"/>
        <family val="0"/>
        <charset val="1"/>
      </rPr>
      <t xml:space="preserve">5,900,000</t>
    </r>
    <r>
      <rPr>
        <sz val="10"/>
        <rFont val="WenQuanYi Zen Hei"/>
        <family val="2"/>
      </rPr>
      <t xml:space="preserve">の間を何度も往復。</t>
    </r>
    <r>
      <rPr>
        <sz val="10"/>
        <rFont val="Meiryo"/>
        <family val="0"/>
        <charset val="1"/>
      </rPr>
      <t xml:space="preserve">9/1</t>
    </r>
    <r>
      <rPr>
        <sz val="10"/>
        <rFont val="WenQuanYi Zen Hei"/>
        <family val="2"/>
      </rPr>
      <t xml:space="preserve">と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月末で同額のため増減ゼロとして扱った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</si>
</sst>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-#,##0;0"/>
    <numFmt numFmtId="166" formatCode="\+#,##0;\-#,##0;0"/>
    <numFmt numFmtId="167" formatCode="\+0.0%;\-0.0%;0.0%"/>
    <numFmt numFmtId="168" formatCode="0.0%"/>
    <numFmt numFmtId="169" formatCode="#,##0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5F2D"/>
      <name val="Meiryo"/>
      <family val="0"/>
      <charset val="1"/>
    </font>
    <font>
      <b val="true"/>
      <sz val="16"/>
      <color rgb="FF2C5F2D"/>
      <name val="WenQuanYi Zen Hei"/>
      <family val="2"/>
    </font>
    <font>
      <sz val="9"/>
      <color rgb="FF767676"/>
      <name val="Meiryo"/>
      <family val="0"/>
      <charset val="1"/>
    </font>
    <font>
      <sz val="9"/>
      <color rgb="FF767676"/>
      <name val="WenQuanYi Zen Hei"/>
      <family val="2"/>
    </font>
    <font>
      <b val="true"/>
      <sz val="12.5"/>
      <color rgb="FF2C5F2D"/>
      <name val="WenQuanYi Zen Hei"/>
      <family val="2"/>
    </font>
    <font>
      <b val="true"/>
      <sz val="12.5"/>
      <color rgb="FF2C5F2D"/>
      <name val="Meiryo"/>
      <family val="0"/>
      <charset val="1"/>
    </font>
    <font>
      <b val="true"/>
      <sz val="9.5"/>
      <color rgb="FF767676"/>
      <name val="Meiryo"/>
      <family val="0"/>
      <charset val="1"/>
    </font>
    <font>
      <b val="true"/>
      <sz val="9.5"/>
      <color rgb="FF767676"/>
      <name val="WenQuanYi Zen Hei"/>
      <family val="2"/>
    </font>
    <font>
      <b val="true"/>
      <sz val="24"/>
      <color rgb="FF2E5C8A"/>
      <name val="Meiryo"/>
      <family val="0"/>
      <charset val="1"/>
    </font>
    <font>
      <b val="true"/>
      <sz val="24"/>
      <color rgb="FF2C5F2D"/>
      <name val="Meiryo"/>
      <family val="0"/>
      <charset val="1"/>
    </font>
    <font>
      <sz val="8.5"/>
      <color rgb="FF767676"/>
      <name val="Meiryo"/>
      <family val="0"/>
      <charset val="1"/>
    </font>
    <font>
      <sz val="8.5"/>
      <color rgb="FF767676"/>
      <name val="WenQuanYi Zen Hei"/>
      <family val="2"/>
    </font>
    <font>
      <b val="true"/>
      <sz val="10.5"/>
      <color rgb="FF1A1A1A"/>
      <name val="WenQuanYi Zen Hei"/>
      <family val="2"/>
    </font>
    <font>
      <b val="true"/>
      <sz val="10.5"/>
      <color rgb="FF1A1A1A"/>
      <name val="Meiryo"/>
      <family val="0"/>
      <charset val="1"/>
    </font>
    <font>
      <b val="true"/>
      <sz val="22"/>
      <color rgb="FF2C5F2D"/>
      <name val="Meiryo"/>
      <family val="0"/>
      <charset val="1"/>
    </font>
    <font>
      <b val="true"/>
      <sz val="22"/>
      <color rgb="FF1A1A1A"/>
      <name val="Meiryo"/>
      <family val="0"/>
      <charset val="1"/>
    </font>
    <font>
      <b val="true"/>
      <sz val="10"/>
      <color rgb="FFC87941"/>
      <name val="WenQuanYi Zen Hei"/>
      <family val="2"/>
    </font>
    <font>
      <b val="true"/>
      <sz val="10"/>
      <color rgb="FFC87941"/>
      <name val="Meiryo"/>
      <family val="0"/>
      <charset val="1"/>
    </font>
    <font>
      <b val="true"/>
      <sz val="18"/>
      <color rgb="FF2C5F2D"/>
      <name val="Meiryo"/>
      <family val="0"/>
      <charset val="1"/>
    </font>
    <font>
      <b val="true"/>
      <sz val="18"/>
      <color rgb="FF1A1A1A"/>
      <name val="Meiryo"/>
      <family val="0"/>
      <charset val="1"/>
    </font>
    <font>
      <b val="true"/>
      <sz val="18"/>
      <color rgb="FFB04A3C"/>
      <name val="Meiryo"/>
      <family val="0"/>
      <charset val="1"/>
    </font>
    <font>
      <b val="true"/>
      <sz val="10"/>
      <color rgb="FF767676"/>
      <name val="WenQuanYi Zen Hei"/>
      <family val="2"/>
    </font>
    <font>
      <b val="true"/>
      <sz val="10"/>
      <color rgb="FF767676"/>
      <name val="Meiryo"/>
      <family val="0"/>
      <charset val="1"/>
    </font>
    <font>
      <b val="true"/>
      <sz val="24"/>
      <color rgb="FF1A1A1A"/>
      <name val="Meiryo"/>
      <family val="0"/>
      <charset val="1"/>
    </font>
    <font>
      <b val="true"/>
      <sz val="10"/>
      <color rgb="FFB04A3C"/>
      <name val="WenQuanYi Zen Hei"/>
      <family val="2"/>
    </font>
    <font>
      <b val="true"/>
      <sz val="10"/>
      <color rgb="FFB04A3C"/>
      <name val="Meiryo"/>
      <family val="0"/>
      <charset val="1"/>
    </font>
    <font>
      <b val="true"/>
      <sz val="24"/>
      <color rgb="FFB04A3C"/>
      <name val="Meiryo"/>
      <family val="0"/>
      <charset val="1"/>
    </font>
    <font>
      <b val="true"/>
      <sz val="14"/>
      <color rgb="FF1A1A1A"/>
      <name val="WenQuanYi Zen Hei"/>
      <family val="2"/>
    </font>
    <font>
      <b val="true"/>
      <sz val="10.5"/>
      <color rgb="FF2C5F2D"/>
      <name val="WenQuanYi Zen Hei"/>
      <family val="2"/>
    </font>
    <font>
      <b val="true"/>
      <sz val="10.5"/>
      <color rgb="FF2C5F2D"/>
      <name val="Meiryo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3"/>
      <color rgb="FF2C5F2D"/>
      <name val="Meiryo"/>
      <family val="0"/>
      <charset val="1"/>
    </font>
    <font>
      <b val="true"/>
      <sz val="13"/>
      <color rgb="FF2C5F2D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"/>
      <family val="0"/>
      <charset val="1"/>
    </font>
    <font>
      <sz val="10"/>
      <name val="WenQuanYi Zen Hei"/>
      <family val="2"/>
    </font>
    <font>
      <sz val="10"/>
      <name val="Meiryo"/>
      <family val="0"/>
      <charset val="1"/>
    </font>
    <font>
      <b val="true"/>
      <sz val="10"/>
      <name val="Meiryo"/>
      <family val="0"/>
      <charset val="1"/>
    </font>
    <font>
      <b val="true"/>
      <sz val="10"/>
      <name val="WenQuanYi Zen Hei"/>
      <family val="2"/>
    </font>
    <font>
      <sz val="10"/>
      <color rgb="FF1A1A1A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10"/>
      <color rgb="FF1A1A1A"/>
      <name val="Meiryo"/>
      <family val="0"/>
      <charset val="1"/>
    </font>
    <font>
      <b val="true"/>
      <sz val="10"/>
      <color rgb="FF2C5F2D"/>
      <name val="Meiryo"/>
      <family val="0"/>
      <charset val="1"/>
    </font>
    <font>
      <b val="true"/>
      <sz val="10"/>
      <color rgb="FF2C5F2D"/>
      <name val="WenQuanYi Zen Hei"/>
      <family val="2"/>
    </font>
    <font>
      <sz val="10"/>
      <color rgb="FF767676"/>
      <name val="WenQuanYi Zen Hei"/>
      <family val="2"/>
    </font>
    <font>
      <b val="true"/>
      <sz val="10"/>
      <color rgb="FF1A1A1A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EDF1F7"/>
        <bgColor rgb="FFEBF3EA"/>
      </patternFill>
    </fill>
    <fill>
      <patternFill patternType="solid">
        <fgColor rgb="FFEBF3EA"/>
        <bgColor rgb="FFEDF1F7"/>
      </patternFill>
    </fill>
    <fill>
      <patternFill patternType="solid">
        <fgColor rgb="FFF4F6F1"/>
        <bgColor rgb="FFFAFBF8"/>
      </patternFill>
    </fill>
    <fill>
      <patternFill patternType="solid">
        <fgColor rgb="FFFBEDEB"/>
        <bgColor rgb="FFF4F6F1"/>
      </patternFill>
    </fill>
    <fill>
      <patternFill patternType="solid">
        <fgColor rgb="FF2C5F2D"/>
        <bgColor rgb="FF2E5C8A"/>
      </patternFill>
    </fill>
    <fill>
      <patternFill patternType="solid">
        <fgColor rgb="FFFAFBF8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FDAE8"/>
      </left>
      <right style="thin">
        <color rgb="FFCFDAE8"/>
      </right>
      <top style="thin">
        <color rgb="FFCFDAE8"/>
      </top>
      <bottom style="thin">
        <color rgb="FFCFDAE8"/>
      </bottom>
      <diagonal/>
    </border>
    <border diagonalUp="false" diagonalDown="false">
      <left style="thin">
        <color rgb="FFC3DCC2"/>
      </left>
      <right style="thin">
        <color rgb="FFC3DCC2"/>
      </right>
      <top style="thin">
        <color rgb="FFC3DCC2"/>
      </top>
      <bottom style="thin">
        <color rgb="FFC3DCC2"/>
      </bottom>
      <diagonal/>
    </border>
    <border diagonalUp="false" diagonalDown="false">
      <left style="thin">
        <color rgb="FFDCE3D5"/>
      </left>
      <right style="thin">
        <color rgb="FFDCE3D5"/>
      </right>
      <top style="thin">
        <color rgb="FFDCE3D5"/>
      </top>
      <bottom style="thin">
        <color rgb="FFDCE3D5"/>
      </bottom>
      <diagonal/>
    </border>
    <border diagonalUp="false" diagonalDown="false">
      <left style="thin">
        <color rgb="FFEBCFC9"/>
      </left>
      <right style="thin">
        <color rgb="FFEBCFC9"/>
      </right>
      <top style="thin">
        <color rgb="FFEBCFC9"/>
      </top>
      <bottom style="thin">
        <color rgb="FFEBCF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2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CC2"/>
      <rgbColor rgb="FF878787"/>
      <rgbColor rgb="FF8E5BC4"/>
      <rgbColor rgb="FFB04A3C"/>
      <rgbColor rgb="FFFAFBF8"/>
      <rgbColor rgb="FFEBF3EA"/>
      <rgbColor rgb="FF660066"/>
      <rgbColor rgb="FFC87941"/>
      <rgbColor rgb="FF0066CC"/>
      <rgbColor rgb="FFCFDA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7"/>
      <rgbColor rgb="FFDCE3D5"/>
      <rgbColor rgb="FFF4F6F1"/>
      <rgbColor rgb="FFD9D9D9"/>
      <rgbColor rgb="FFFBEDEB"/>
      <rgbColor rgb="FFCC99FF"/>
      <rgbColor rgb="FFEBCFC9"/>
      <rgbColor rgb="FF3B7DD8"/>
      <rgbColor rgb="FF33CCCC"/>
      <rgbColor rgb="FF99CC00"/>
      <rgbColor rgb="FFFFCC00"/>
      <rgbColor rgb="FFE09B22"/>
      <rgbColor rgb="FFFF6600"/>
      <rgbColor rgb="FF767676"/>
      <rgbColor rgb="FF4F81BD"/>
      <rgbColor rgb="FF003366"/>
      <rgbColor rgb="FF2E8B57"/>
      <rgbColor rgb="FF003300"/>
      <rgbColor rgb="FF2C5F2D"/>
      <rgbColor rgb="FF993300"/>
      <rgbColor rgb="FFC0453E"/>
      <rgbColor rgb="FF2E5C8A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ABCD総玉の構成（9/1 → 9月末）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グラフ用データ!B4</c:f>
              <c:strCache>
                <c:ptCount val="1"/>
                <c:pt idx="0">
                  <c:v>AB玉</c:v>
                </c:pt>
              </c:strCache>
            </c:strRef>
          </c:tx>
          <c:spPr>
            <a:solidFill>
              <a:srgbClr val="2e8b57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グラフ用データ!$A$5:$A$6</c:f>
              <c:strCache>
                <c:ptCount val="2"/>
                <c:pt idx="0">
                  <c:v>9/1 時点</c:v>
                </c:pt>
                <c:pt idx="1">
                  <c:v>9月末 時点</c:v>
                </c:pt>
              </c:strCache>
            </c:strRef>
          </c:cat>
          <c:val>
            <c:numRef>
              <c:f>グラフ用データ!$B$5:$B$6</c:f>
              <c:numCache>
                <c:formatCode>#,##0;\-#,##0;0</c:formatCode>
                <c:ptCount val="2"/>
                <c:pt idx="0">
                  <c:v>85477</c:v>
                </c:pt>
                <c:pt idx="1">
                  <c:v>99318</c:v>
                </c:pt>
              </c:numCache>
            </c:numRef>
          </c:val>
        </c:ser>
        <c:ser>
          <c:idx val="1"/>
          <c:order val="1"/>
          <c:tx>
            <c:strRef>
              <c:f>グラフ用データ!C4</c:f>
              <c:strCache>
                <c:ptCount val="1"/>
                <c:pt idx="0">
                  <c:v>CD玉</c:v>
                </c:pt>
              </c:strCache>
            </c:strRef>
          </c:tx>
          <c:spPr>
            <a:solidFill>
              <a:srgbClr val="e09b22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グラフ用データ!$A$5:$A$6</c:f>
              <c:strCache>
                <c:ptCount val="2"/>
                <c:pt idx="0">
                  <c:v>9/1 時点</c:v>
                </c:pt>
                <c:pt idx="1">
                  <c:v>9月末 時点</c:v>
                </c:pt>
              </c:strCache>
            </c:strRef>
          </c:cat>
          <c:val>
            <c:numRef>
              <c:f>グラフ用データ!$C$5:$C$6</c:f>
              <c:numCache>
                <c:formatCode>#,##0;\-#,##0;0</c:formatCode>
                <c:ptCount val="2"/>
                <c:pt idx="0">
                  <c:v>183826</c:v>
                </c:pt>
                <c:pt idx="1">
                  <c:v>183800</c:v>
                </c:pt>
              </c:numCache>
            </c:numRef>
          </c:val>
        </c:ser>
        <c:ser>
          <c:idx val="2"/>
          <c:order val="2"/>
          <c:tx>
            <c:strRef>
              <c:f>グラフ用データ!D4</c:f>
              <c:strCache>
                <c:ptCount val="1"/>
                <c:pt idx="0">
                  <c:v>長期玉</c:v>
                </c:pt>
              </c:strCache>
            </c:strRef>
          </c:tx>
          <c:spPr>
            <a:solidFill>
              <a:srgbClr val="3b7dd8"/>
            </a:solidFill>
            <a:ln w="19080">
              <a:solidFill>
                <a:srgbClr val="ffffff"/>
              </a:solidFill>
              <a:round/>
            </a:ln>
          </c:spPr>
          <c:invertIfNegative val="0"/>
          <c:dLbls>
            <c:numFmt formatCode="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グラフ用データ!$A$5:$A$6</c:f>
              <c:strCache>
                <c:ptCount val="2"/>
                <c:pt idx="0">
                  <c:v>9/1 時点</c:v>
                </c:pt>
                <c:pt idx="1">
                  <c:v>9月末 時点</c:v>
                </c:pt>
              </c:strCache>
            </c:strRef>
          </c:cat>
          <c:val>
            <c:numRef>
              <c:f>グラフ用データ!$D$5:$D$6</c:f>
              <c:numCache>
                <c:formatCode>#,##0;\-#,##0;0</c:formatCode>
                <c:ptCount val="2"/>
                <c:pt idx="0">
                  <c:v>300</c:v>
                </c:pt>
                <c:pt idx="1">
                  <c:v>300</c:v>
                </c:pt>
              </c:numCache>
            </c:numRef>
          </c:val>
        </c:ser>
        <c:gapWidth val="60"/>
        <c:overlap val="100"/>
        <c:axId val="39821797"/>
        <c:axId val="59069199"/>
      </c:barChart>
      <c:catAx>
        <c:axId val="39821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069199"/>
        <c:crosses val="autoZero"/>
        <c:auto val="1"/>
        <c:lblAlgn val="ctr"/>
        <c:lblOffset val="100"/>
        <c:noMultiLvlLbl val="0"/>
      </c:catAx>
      <c:valAx>
        <c:axId val="59069199"/>
        <c:scaling>
          <c:orientation val="minMax"/>
        </c:scaling>
        <c:delete val="0"/>
        <c:axPos val="l"/>
        <c:numFmt formatCode="#,##0;\-#,##0;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21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AB玉 増加の内訳（プラス要因）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9b22"/>
              </a:solidFill>
              <a:ln w="0">
                <a:noFill/>
              </a:ln>
            </c:spPr>
          </c:dPt>
          <c:dPt>
            <c:idx val="2"/>
            <c:spPr>
              <a:solidFill>
                <a:srgbClr val="3b7dd8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eparator>; </c:separator>
            <c:showLeaderLines val="1"/>
          </c:dLbls>
          <c:cat>
            <c:strRef>
              <c:f>グラフ用データ!$A$10:$A$12</c:f>
              <c:strCache>
                <c:ptCount val="3"/>
                <c:pt idx="0">
                  <c:v>確度UP（CD→AB）</c:v>
                </c:pt>
                <c:pt idx="1">
                  <c:v>新規作成</c:v>
                </c:pt>
                <c:pt idx="2">
                  <c:v>その他（失注から復活＋増額）</c:v>
                </c:pt>
              </c:strCache>
            </c:strRef>
          </c:cat>
          <c:val>
            <c:numRef>
              <c:f>グラフ用データ!$B$10:$B$12</c:f>
              <c:numCache>
                <c:formatCode>#,##0;\-#,##0;0</c:formatCode>
                <c:ptCount val="3"/>
                <c:pt idx="0">
                  <c:v>11696</c:v>
                </c:pt>
                <c:pt idx="1">
                  <c:v>1929</c:v>
                </c:pt>
                <c:pt idx="2">
                  <c:v>266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CD玉 増加要因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2e8b57"/>
              </a:solidFill>
              <a:ln w="0">
                <a:noFill/>
              </a:ln>
            </c:spPr>
          </c:dPt>
          <c:dPt>
            <c:idx val="1"/>
            <c:spPr>
              <a:solidFill>
                <a:srgbClr val="e09b22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eparator>; </c:separator>
            <c:showLeaderLines val="1"/>
          </c:dLbls>
          <c:cat>
            <c:strRef>
              <c:f>グラフ用データ!$A$17:$A$18</c:f>
              <c:strCache>
                <c:ptCount val="2"/>
                <c:pt idx="0">
                  <c:v>新規作成</c:v>
                </c:pt>
                <c:pt idx="1">
                  <c:v>増額</c:v>
                </c:pt>
              </c:strCache>
            </c:strRef>
          </c:cat>
          <c:val>
            <c:numRef>
              <c:f>グラフ用データ!$B$17:$B$18</c:f>
              <c:numCache>
                <c:formatCode>#,##0;\-#,##0;0</c:formatCode>
                <c:ptCount val="2"/>
                <c:pt idx="0">
                  <c:v>6904</c:v>
                </c:pt>
                <c:pt idx="1">
                  <c:v>3855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CD玉 減少要因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0453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3b7dd8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e5bc4"/>
              </a:solidFill>
              <a:ln w="0">
                <a:noFill/>
              </a:ln>
            </c:spPr>
          </c:dPt>
          <c:dLbls>
            <c:numFmt formatCode="#,##0" sourceLinked="1"/>
            <c:dLbl>
              <c:idx val="0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1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dLbl>
              <c:idx val="2"/>
              <c:numFmt formatCode="#,##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eparator>; </c:separator>
            <c:showLeaderLines val="1"/>
          </c:dLbls>
          <c:cat>
            <c:strRef>
              <c:f>グラフ用データ!$A$21:$A$23</c:f>
              <c:strCache>
                <c:ptCount val="3"/>
                <c:pt idx="0">
                  <c:v>失注</c:v>
                </c:pt>
                <c:pt idx="1">
                  <c:v>確度UP（AB玉へ移動）</c:v>
                </c:pt>
                <c:pt idx="2">
                  <c:v>減額</c:v>
                </c:pt>
              </c:strCache>
            </c:strRef>
          </c:cat>
          <c:val>
            <c:numRef>
              <c:f>グラフ用データ!$B$21:$B$23</c:f>
              <c:numCache>
                <c:formatCode>#,##0;\-#,##0;0</c:formatCode>
                <c:ptCount val="3"/>
                <c:pt idx="0">
                  <c:v>5597</c:v>
                </c:pt>
                <c:pt idx="1">
                  <c:v>5152</c:v>
                </c:pt>
                <c:pt idx="2">
                  <c:v>36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9</xdr:col>
      <xdr:colOff>891720</xdr:colOff>
      <xdr:row>29</xdr:row>
      <xdr:rowOff>68760</xdr:rowOff>
    </xdr:to>
    <xdr:graphicFrame>
      <xdr:nvGraphicFramePr>
        <xdr:cNvPr id="0" name="Chart 1"/>
        <xdr:cNvGraphicFramePr/>
      </xdr:nvGraphicFramePr>
      <xdr:xfrm>
        <a:off x="195480" y="40006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0</xdr:rowOff>
    </xdr:from>
    <xdr:to>
      <xdr:col>9</xdr:col>
      <xdr:colOff>891720</xdr:colOff>
      <xdr:row>57</xdr:row>
      <xdr:rowOff>68760</xdr:rowOff>
    </xdr:to>
    <xdr:graphicFrame>
      <xdr:nvGraphicFramePr>
        <xdr:cNvPr id="1" name="Chart 2"/>
        <xdr:cNvGraphicFramePr/>
      </xdr:nvGraphicFramePr>
      <xdr:xfrm>
        <a:off x="195480" y="10372680"/>
        <a:ext cx="899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5</xdr:col>
      <xdr:colOff>337680</xdr:colOff>
      <xdr:row>86</xdr:row>
      <xdr:rowOff>68760</xdr:rowOff>
    </xdr:to>
    <xdr:graphicFrame>
      <xdr:nvGraphicFramePr>
        <xdr:cNvPr id="2" name="Chart 3"/>
        <xdr:cNvGraphicFramePr/>
      </xdr:nvGraphicFramePr>
      <xdr:xfrm>
        <a:off x="195480" y="17021160"/>
        <a:ext cx="43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72</xdr:row>
      <xdr:rowOff>0</xdr:rowOff>
    </xdr:from>
    <xdr:to>
      <xdr:col>11</xdr:col>
      <xdr:colOff>337680</xdr:colOff>
      <xdr:row>86</xdr:row>
      <xdr:rowOff>68760</xdr:rowOff>
    </xdr:to>
    <xdr:graphicFrame>
      <xdr:nvGraphicFramePr>
        <xdr:cNvPr id="3" name="Chart 4"/>
        <xdr:cNvGraphicFramePr/>
      </xdr:nvGraphicFramePr>
      <xdr:xfrm>
        <a:off x="6276240" y="17021160"/>
        <a:ext cx="4391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0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3" min="2" style="0" width="11.4"/>
    <col collapsed="false" customWidth="true" hidden="false" outlineLevel="0" max="14" min="14" style="0" width="2.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7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6.5" hidden="false" customHeight="true" outlineLevel="0" collapsed="false">
      <c r="B7" s="5" t="s">
        <v>4</v>
      </c>
      <c r="C7" s="5"/>
      <c r="D7" s="5"/>
      <c r="E7" s="5" t="s">
        <v>5</v>
      </c>
      <c r="F7" s="5"/>
      <c r="G7" s="5"/>
      <c r="H7" s="6" t="s">
        <v>6</v>
      </c>
      <c r="I7" s="6"/>
      <c r="J7" s="6"/>
      <c r="K7" s="6" t="s">
        <v>7</v>
      </c>
      <c r="L7" s="6"/>
      <c r="M7" s="6"/>
    </row>
    <row r="8" customFormat="false" ht="33.75" hidden="false" customHeight="true" outlineLevel="0" collapsed="false">
      <c r="B8" s="7" t="n">
        <f aca="false">グラフ用データ!E5</f>
        <v>269603</v>
      </c>
      <c r="C8" s="7"/>
      <c r="D8" s="7"/>
      <c r="E8" s="7" t="n">
        <f aca="false">グラフ用データ!E6</f>
        <v>283418</v>
      </c>
      <c r="F8" s="7"/>
      <c r="G8" s="7"/>
      <c r="H8" s="8" t="n">
        <f aca="false">グラフ用データ!E7</f>
        <v>13815</v>
      </c>
      <c r="I8" s="8"/>
      <c r="J8" s="8"/>
      <c r="K8" s="9" t="n">
        <f aca="false">グラフ用データ!E7/グラフ用データ!E5</f>
        <v>0.0512420114019503</v>
      </c>
      <c r="L8" s="9"/>
      <c r="M8" s="9"/>
    </row>
    <row r="9" customFormat="false" ht="24" hidden="false" customHeight="true" outlineLevel="0" collapsed="false">
      <c r="B9" s="10" t="s">
        <v>8</v>
      </c>
      <c r="C9" s="10"/>
      <c r="D9" s="10"/>
      <c r="E9" s="10" t="s">
        <v>9</v>
      </c>
      <c r="F9" s="10"/>
      <c r="G9" s="10"/>
      <c r="H9" s="11" t="s">
        <v>10</v>
      </c>
      <c r="I9" s="11"/>
      <c r="J9" s="11"/>
      <c r="K9" s="11" t="s">
        <v>11</v>
      </c>
      <c r="L9" s="11"/>
      <c r="M9" s="11"/>
    </row>
    <row r="11" customFormat="false" ht="19.5" hidden="false" customHeight="true" outlineLevel="0" collapsed="false">
      <c r="B11" s="12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customFormat="false" ht="16.5" hidden="false" customHeight="true" outlineLevel="0" collapsed="false">
      <c r="B12" s="13" t="s">
        <v>13</v>
      </c>
      <c r="C12" s="13"/>
      <c r="D12" s="13"/>
      <c r="E12" s="14" t="s">
        <v>14</v>
      </c>
      <c r="F12" s="14"/>
      <c r="G12" s="14"/>
      <c r="H12" s="15" t="s">
        <v>15</v>
      </c>
      <c r="I12" s="15"/>
      <c r="J12" s="15"/>
      <c r="K12" s="6" t="s">
        <v>16</v>
      </c>
      <c r="L12" s="6"/>
      <c r="M12" s="6"/>
    </row>
    <row r="13" customFormat="false" ht="33.75" hidden="false" customHeight="true" outlineLevel="0" collapsed="false">
      <c r="B13" s="16" t="n">
        <f aca="false">グラフ用データ!B7</f>
        <v>13841</v>
      </c>
      <c r="C13" s="16"/>
      <c r="D13" s="16"/>
      <c r="E13" s="17" t="n">
        <f aca="false">グラフ用データ!C7</f>
        <v>-26</v>
      </c>
      <c r="F13" s="17"/>
      <c r="G13" s="17"/>
      <c r="H13" s="17" t="n">
        <f aca="false">グラフ用データ!D7</f>
        <v>0</v>
      </c>
      <c r="I13" s="17"/>
      <c r="J13" s="17"/>
      <c r="K13" s="18" t="n">
        <f aca="false">グラフ用データ!B7/グラフ用データ!E7</f>
        <v>1.00188201230547</v>
      </c>
      <c r="L13" s="18"/>
      <c r="M13" s="18"/>
    </row>
    <row r="14" customFormat="false" ht="24" hidden="false" customHeight="true" outlineLevel="0" collapsed="false">
      <c r="B14" s="19" t="s">
        <v>17</v>
      </c>
      <c r="C14" s="19"/>
      <c r="D14" s="19"/>
      <c r="E14" s="20" t="s">
        <v>18</v>
      </c>
      <c r="F14" s="20"/>
      <c r="G14" s="20"/>
      <c r="H14" s="20" t="s">
        <v>19</v>
      </c>
      <c r="I14" s="20"/>
      <c r="J14" s="20"/>
      <c r="K14" s="19" t="s">
        <v>20</v>
      </c>
      <c r="L14" s="19"/>
      <c r="M14" s="19"/>
    </row>
    <row r="31" customFormat="false" ht="21.75" hidden="false" customHeight="true" outlineLevel="0" collapsed="false">
      <c r="B31" s="21" t="s">
        <v>21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3" customFormat="false" ht="27" hidden="false" customHeight="true" outlineLevel="0" collapsed="false">
      <c r="B33" s="3" t="s">
        <v>22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5" hidden="false" customHeight="true" outlineLevel="0" collapsed="false">
      <c r="B34" s="4" t="s">
        <v>23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16.5" hidden="false" customHeight="true" outlineLevel="0" collapsed="false">
      <c r="B35" s="5" t="s">
        <v>4</v>
      </c>
      <c r="C35" s="5"/>
      <c r="D35" s="5"/>
      <c r="E35" s="5" t="s">
        <v>5</v>
      </c>
      <c r="F35" s="5"/>
      <c r="G35" s="5"/>
      <c r="H35" s="6" t="s">
        <v>6</v>
      </c>
      <c r="I35" s="6"/>
      <c r="J35" s="6"/>
      <c r="K35" s="6" t="s">
        <v>7</v>
      </c>
      <c r="L35" s="6"/>
      <c r="M35" s="6"/>
    </row>
    <row r="36" customFormat="false" ht="33.75" hidden="false" customHeight="true" outlineLevel="0" collapsed="false">
      <c r="B36" s="7" t="n">
        <f aca="false">グラフ用データ!B5</f>
        <v>85477</v>
      </c>
      <c r="C36" s="7"/>
      <c r="D36" s="7"/>
      <c r="E36" s="7" t="n">
        <f aca="false">グラフ用データ!B6</f>
        <v>99318</v>
      </c>
      <c r="F36" s="7"/>
      <c r="G36" s="7"/>
      <c r="H36" s="8" t="n">
        <f aca="false">グラフ用データ!B7</f>
        <v>13841</v>
      </c>
      <c r="I36" s="8"/>
      <c r="J36" s="8"/>
      <c r="K36" s="9" t="n">
        <f aca="false">グラフ用データ!B7/グラフ用データ!B5</f>
        <v>0.161926600138049</v>
      </c>
      <c r="L36" s="9"/>
      <c r="M36" s="9"/>
    </row>
    <row r="37" customFormat="false" ht="24" hidden="false" customHeight="true" outlineLevel="0" collapsed="false">
      <c r="B37" s="10" t="s">
        <v>8</v>
      </c>
      <c r="C37" s="10"/>
      <c r="D37" s="10"/>
      <c r="E37" s="10" t="str">
        <f aca="false">121&amp;"件"</f>
        <v>121件</v>
      </c>
      <c r="F37" s="10"/>
      <c r="G37" s="10"/>
      <c r="H37" s="11" t="s">
        <v>10</v>
      </c>
      <c r="I37" s="11"/>
      <c r="J37" s="11"/>
      <c r="K37" s="11" t="s">
        <v>11</v>
      </c>
      <c r="L37" s="11"/>
      <c r="M37" s="11"/>
    </row>
    <row r="39" customFormat="false" ht="19.5" hidden="false" customHeight="true" outlineLevel="0" collapsed="false">
      <c r="B39" s="12" t="s">
        <v>24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</row>
    <row r="40" customFormat="false" ht="16.5" hidden="false" customHeight="true" outlineLevel="0" collapsed="false">
      <c r="B40" s="6" t="s">
        <v>25</v>
      </c>
      <c r="C40" s="6"/>
      <c r="D40" s="6" t="s">
        <v>26</v>
      </c>
      <c r="E40" s="6"/>
      <c r="F40" s="6" t="s">
        <v>27</v>
      </c>
      <c r="G40" s="6"/>
      <c r="H40" s="15" t="s">
        <v>28</v>
      </c>
      <c r="I40" s="15"/>
      <c r="J40" s="22" t="s">
        <v>29</v>
      </c>
      <c r="K40" s="22"/>
      <c r="L40" s="22"/>
      <c r="M40" s="22"/>
    </row>
    <row r="41" customFormat="false" ht="33.75" hidden="false" customHeight="true" outlineLevel="0" collapsed="false">
      <c r="B41" s="23" t="n">
        <f aca="false">SUMIFS('AB玉 増減明細'!$E$4:$E$23,'AB玉 増減明細'!$F$4:$F$23,"確度UP（CD→AB）",'AB玉 増減明細'!$A$4:$A$23,"コーデ+TREEBATON")</f>
        <v>11696</v>
      </c>
      <c r="C41" s="23"/>
      <c r="D41" s="23" t="n">
        <f aca="false">SUMIFS('AB玉 増減明細'!$E$4:$E$23,'AB玉 増減明細'!$F$4:$F$23,"新規作成",'AB玉 増減明細'!$A$4:$A$23,"コーデ+TREEBATON")</f>
        <v>1929</v>
      </c>
      <c r="E41" s="23"/>
      <c r="F41" s="23" t="n">
        <f aca="false">SUMIFS('AB玉 増減明細'!$E$4:$E$23,'AB玉 増減明細'!$F$4:$F$23,"失注から復活",'AB玉 増減明細'!$A$4:$A$23,"コーデ+TREEBATON")</f>
        <v>220</v>
      </c>
      <c r="G41" s="23"/>
      <c r="H41" s="24" t="n">
        <f aca="false">SUMIFS('AB玉 増減明細'!$E$4:$E$23,'AB玉 増減明細'!$F$4:$F$23,"増額",'AB玉 増減明細'!$A$4:$A$23,"コーデ+TREEBATON")</f>
        <v>46</v>
      </c>
      <c r="I41" s="24"/>
      <c r="J41" s="25" t="n">
        <f aca="false">SUMIFS('AB玉 増減明細'!$E$4:$E$23,'AB玉 増減明細'!$F$4:$F$23,"減額",'AB玉 増減明細'!$A$4:$A$23,"コーデ+TREEBATON")</f>
        <v>-50</v>
      </c>
      <c r="K41" s="25"/>
      <c r="L41" s="25"/>
      <c r="M41" s="25"/>
    </row>
    <row r="42" customFormat="false" ht="24" hidden="false" customHeight="true" outlineLevel="0" collapsed="false">
      <c r="B42" s="11" t="str">
        <f aca="false">COUNTIFS('AB玉 増減明細'!$F$4:$F$23,"確度UP（CD→AB）",'AB玉 増減明細'!$A$4:$A$23,"コーデ+TREEBATON")&amp;"件"</f>
        <v>5件</v>
      </c>
      <c r="C42" s="11"/>
      <c r="D42" s="11" t="str">
        <f aca="false">COUNTIFS('AB玉 増減明細'!$F$4:$F$23,"新規作成",'AB玉 増減明細'!$A$4:$A$23,"コーデ+TREEBATON")&amp;"件"</f>
        <v>11件</v>
      </c>
      <c r="E42" s="11"/>
      <c r="F42" s="11" t="str">
        <f aca="false">COUNTIFS('AB玉 増減明細'!$F$4:$F$23,"失注から復活",'AB玉 増減明細'!$A$4:$A$23,"コーデ+TREEBATON")&amp;"件"</f>
        <v>1件</v>
      </c>
      <c r="G42" s="11"/>
      <c r="H42" s="26" t="str">
        <f aca="false">COUNTIFS('AB玉 増減明細'!$F$4:$F$23,"増額",'AB玉 増減明細'!$A$4:$A$23,"コーデ+TREEBATON")&amp;"件"</f>
        <v>1件</v>
      </c>
      <c r="I42" s="26"/>
      <c r="J42" s="27" t="str">
        <f aca="false">COUNTIFS('AB玉 増減明細'!$F$4:$F$23,"減額",'AB玉 増減明細'!$A$4:$A$23,"コーデ+TREEBATON")&amp;"件"</f>
        <v>1件</v>
      </c>
      <c r="K42" s="27"/>
      <c r="L42" s="27"/>
      <c r="M42" s="27"/>
    </row>
    <row r="59" customFormat="false" ht="21.75" hidden="false" customHeight="true" outlineLevel="0" collapsed="false">
      <c r="B59" s="21" t="s">
        <v>30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</row>
    <row r="60" customFormat="false" ht="21.75" hidden="false" customHeight="true" outlineLevel="0" collapsed="false">
      <c r="B60" s="28" t="s">
        <v>31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</row>
    <row r="62" customFormat="false" ht="27" hidden="false" customHeight="true" outlineLevel="0" collapsed="false">
      <c r="B62" s="3" t="s">
        <v>32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15" hidden="false" customHeight="true" outlineLevel="0" collapsed="false">
      <c r="B63" s="4" t="s">
        <v>33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6.5" hidden="false" customHeight="true" outlineLevel="0" collapsed="false">
      <c r="B64" s="5" t="s">
        <v>4</v>
      </c>
      <c r="C64" s="5"/>
      <c r="D64" s="5"/>
      <c r="E64" s="5" t="s">
        <v>5</v>
      </c>
      <c r="F64" s="5"/>
      <c r="G64" s="5"/>
      <c r="H64" s="15" t="s">
        <v>6</v>
      </c>
      <c r="I64" s="15"/>
      <c r="J64" s="15"/>
      <c r="K64" s="15" t="s">
        <v>7</v>
      </c>
      <c r="L64" s="15"/>
      <c r="M64" s="15"/>
    </row>
    <row r="65" customFormat="false" ht="33.75" hidden="false" customHeight="true" outlineLevel="0" collapsed="false">
      <c r="B65" s="7" t="n">
        <f aca="false">グラフ用データ!C5</f>
        <v>183826</v>
      </c>
      <c r="C65" s="7"/>
      <c r="D65" s="7"/>
      <c r="E65" s="7" t="n">
        <f aca="false">グラフ用データ!C6</f>
        <v>183800</v>
      </c>
      <c r="F65" s="7"/>
      <c r="G65" s="7"/>
      <c r="H65" s="29" t="n">
        <f aca="false">グラフ用データ!C7</f>
        <v>-26</v>
      </c>
      <c r="I65" s="29"/>
      <c r="J65" s="29"/>
      <c r="K65" s="30" t="n">
        <f aca="false">グラフ用データ!C7/グラフ用データ!C5</f>
        <v>-0.000141438099071948</v>
      </c>
      <c r="L65" s="30"/>
      <c r="M65" s="30"/>
    </row>
    <row r="66" customFormat="false" ht="24" hidden="false" customHeight="true" outlineLevel="0" collapsed="false">
      <c r="B66" s="10" t="s">
        <v>8</v>
      </c>
      <c r="C66" s="10"/>
      <c r="D66" s="10"/>
      <c r="E66" s="10" t="str">
        <f aca="false">113&amp;"件"</f>
        <v>113件</v>
      </c>
      <c r="F66" s="10"/>
      <c r="G66" s="10"/>
      <c r="H66" s="20" t="s">
        <v>34</v>
      </c>
      <c r="I66" s="20"/>
      <c r="J66" s="20"/>
      <c r="K66" s="26" t="s">
        <v>11</v>
      </c>
      <c r="L66" s="26"/>
      <c r="M66" s="26"/>
    </row>
    <row r="68" customFormat="false" ht="19.5" hidden="false" customHeight="true" outlineLevel="0" collapsed="false">
      <c r="B68" s="12" t="s">
        <v>24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customFormat="false" ht="16.5" hidden="false" customHeight="true" outlineLevel="0" collapsed="false">
      <c r="B69" s="6" t="s">
        <v>26</v>
      </c>
      <c r="C69" s="6"/>
      <c r="D69" s="6" t="s">
        <v>28</v>
      </c>
      <c r="E69" s="6"/>
      <c r="F69" s="15" t="s">
        <v>35</v>
      </c>
      <c r="G69" s="15"/>
      <c r="H69" s="22" t="s">
        <v>36</v>
      </c>
      <c r="I69" s="22"/>
      <c r="J69" s="22" t="s">
        <v>29</v>
      </c>
      <c r="K69" s="22"/>
      <c r="L69" s="22"/>
      <c r="M69" s="22"/>
    </row>
    <row r="70" customFormat="false" ht="33.75" hidden="false" customHeight="true" outlineLevel="0" collapsed="false">
      <c r="B70" s="23" t="n">
        <f aca="false">SUMIFS('CD玉 増減明細'!$E$4:$E$25,'CD玉 増減明細'!$F$4:$F$25,"新規作成",'CD玉 増減明細'!$A$4:$A$25,"コーデ+TREEBATON")</f>
        <v>6904</v>
      </c>
      <c r="C70" s="23"/>
      <c r="D70" s="23" t="n">
        <f aca="false">SUMIFS('CD玉 増減明細'!$E$4:$E$25,'CD玉 増減明細'!$F$4:$F$25,"増額",'CD玉 増減明細'!$A$4:$A$25,"コーデ+TREEBATON")</f>
        <v>3855</v>
      </c>
      <c r="E70" s="23"/>
      <c r="F70" s="24" t="n">
        <f aca="false">SUMIFS('CD玉 増減明細'!$E$4:$E$25,'CD玉 増減明細'!$F$4:$F$25,"確度UP（CD→AB）",'CD玉 増減明細'!$A$4:$A$25,"コーデ+TREEBATON")</f>
        <v>-5152</v>
      </c>
      <c r="G70" s="24"/>
      <c r="H70" s="25" t="n">
        <f aca="false">SUMIFS('CD玉 増減明細'!$E$4:$E$25,'CD玉 増減明細'!$F$4:$F$25,"失注",'CD玉 増減明細'!$A$4:$A$25,"コーデ+TREEBATON")</f>
        <v>-5597</v>
      </c>
      <c r="I70" s="25"/>
      <c r="J70" s="25" t="n">
        <f aca="false">SUMIFS('CD玉 増減明細'!$E$4:$E$25,'CD玉 増減明細'!$F$4:$F$25,"減額",'CD玉 増減明細'!$A$4:$A$25,"コーデ+TREEBATON")</f>
        <v>-36</v>
      </c>
      <c r="K70" s="25"/>
      <c r="L70" s="25"/>
      <c r="M70" s="25"/>
    </row>
    <row r="71" customFormat="false" ht="24" hidden="false" customHeight="true" outlineLevel="0" collapsed="false">
      <c r="B71" s="11" t="str">
        <f aca="false">COUNTIFS('CD玉 増減明細'!$F$4:$F$25,"新規作成",'CD玉 増減明細'!$A$4:$A$25,"コーデ+TREEBATON")&amp;"件"</f>
        <v>7件</v>
      </c>
      <c r="C71" s="11"/>
      <c r="D71" s="11" t="str">
        <f aca="false">COUNTIFS('CD玉 増減明細'!$F$4:$F$25,"増額",'CD玉 増減明細'!$A$4:$A$25,"コーデ+TREEBATON")&amp;"件"</f>
        <v>4件</v>
      </c>
      <c r="E71" s="11"/>
      <c r="F71" s="26" t="str">
        <f aca="false">COUNTIFS('CD玉 増減明細'!$F$4:$F$25,"確度UP（CD→AB）",'CD玉 増減明細'!$A$4:$A$25,"コーデ+TREEBATON")&amp;"件"</f>
        <v>4件</v>
      </c>
      <c r="G71" s="26"/>
      <c r="H71" s="27" t="str">
        <f aca="false">COUNTIFS('CD玉 増減明細'!$F$4:$F$25,"失注",'CD玉 増減明細'!$A$4:$A$25,"コーデ+TREEBATON")&amp;"件"</f>
        <v>6件</v>
      </c>
      <c r="I71" s="27"/>
      <c r="J71" s="27" t="str">
        <f aca="false">COUNTIFS('CD玉 増減明細'!$F$4:$F$25,"減額",'CD玉 増減明細'!$A$4:$A$25,"コーデ+TREEBATON")&amp;"件"</f>
        <v>1件</v>
      </c>
      <c r="K71" s="27"/>
      <c r="L71" s="27"/>
      <c r="M71" s="27"/>
    </row>
    <row r="88" customFormat="false" ht="21.75" hidden="false" customHeight="true" outlineLevel="0" collapsed="false">
      <c r="B88" s="21" t="s">
        <v>37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</row>
    <row r="89" customFormat="false" ht="21.75" hidden="false" customHeight="true" outlineLevel="0" collapsed="false">
      <c r="B89" s="31" t="s">
        <v>38</v>
      </c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</row>
    <row r="91" customFormat="false" ht="27" hidden="false" customHeight="true" outlineLevel="0" collapsed="false">
      <c r="B91" s="3" t="s">
        <v>39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customFormat="false" ht="15" hidden="false" customHeight="true" outlineLevel="0" collapsed="false">
      <c r="B92" s="4" t="s">
        <v>40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customFormat="false" ht="16.5" hidden="false" customHeight="true" outlineLevel="0" collapsed="false">
      <c r="B93" s="6" t="s">
        <v>41</v>
      </c>
      <c r="C93" s="6"/>
      <c r="D93" s="6"/>
      <c r="E93" s="15" t="s">
        <v>26</v>
      </c>
      <c r="F93" s="15"/>
      <c r="G93" s="15"/>
      <c r="H93" s="22" t="s">
        <v>36</v>
      </c>
      <c r="I93" s="22"/>
      <c r="J93" s="22"/>
      <c r="K93" s="22" t="s">
        <v>42</v>
      </c>
      <c r="L93" s="22"/>
      <c r="M93" s="22"/>
    </row>
    <row r="94" customFormat="false" ht="33.75" hidden="false" customHeight="true" outlineLevel="0" collapsed="false">
      <c r="B94" s="32" t="n">
        <f aca="false">SUM(成約明細!$C$4:$C$16)</f>
        <v>14382</v>
      </c>
      <c r="C94" s="32"/>
      <c r="D94" s="32"/>
      <c r="E94" s="33" t="n">
        <f aca="false">SUM(新規作成明細!$C$4:$C$41)</f>
        <v>9345</v>
      </c>
      <c r="F94" s="33"/>
      <c r="G94" s="33"/>
      <c r="H94" s="34" t="n">
        <f aca="false">-SUM(失注明細!$C$4:$C$12)</f>
        <v>-5597</v>
      </c>
      <c r="I94" s="34"/>
      <c r="J94" s="34"/>
      <c r="K94" s="35" t="n">
        <f aca="false">COUNTIF(新規作成明細!$G$4:$G$41,"●")</f>
        <v>18</v>
      </c>
      <c r="L94" s="35"/>
      <c r="M94" s="35"/>
    </row>
    <row r="95" customFormat="false" ht="24" hidden="false" customHeight="true" outlineLevel="0" collapsed="false">
      <c r="B95" s="11" t="str">
        <f aca="false">13&amp;"件"</f>
        <v>13件</v>
      </c>
      <c r="C95" s="11"/>
      <c r="D95" s="11"/>
      <c r="E95" s="26" t="str">
        <f aca="false">38&amp;"件"</f>
        <v>38件</v>
      </c>
      <c r="F95" s="26"/>
      <c r="G95" s="26"/>
      <c r="H95" s="27" t="str">
        <f aca="false">9&amp;"件。すべて確度C・D"</f>
        <v>9件。すべて確度C・D</v>
      </c>
      <c r="I95" s="27"/>
      <c r="J95" s="27"/>
      <c r="K95" s="27" t="str">
        <f aca="false">"件。新規"&amp;38&amp;"件の"&amp;TEXT(COUNTIF(新規作成明細!$G$4:$G$41,"●")/38,"0.0%")</f>
        <v>件。新規38件の47.4%</v>
      </c>
      <c r="L95" s="27"/>
      <c r="M95" s="27"/>
    </row>
    <row r="97" customFormat="false" ht="27" hidden="false" customHeight="true" outlineLevel="0" collapsed="false">
      <c r="B97" s="3" t="s">
        <v>43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customFormat="false" ht="15" hidden="false" customHeight="true" outlineLevel="0" collapsed="false">
      <c r="B98" s="4" t="s">
        <v>44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6.5" hidden="false" customHeight="true" outlineLevel="0" collapsed="false">
      <c r="B99" s="13" t="s">
        <v>13</v>
      </c>
      <c r="C99" s="13"/>
      <c r="D99" s="13"/>
      <c r="E99" s="14" t="s">
        <v>14</v>
      </c>
      <c r="F99" s="14"/>
      <c r="G99" s="14"/>
      <c r="H99" s="13" t="s">
        <v>45</v>
      </c>
      <c r="I99" s="13"/>
      <c r="J99" s="13"/>
      <c r="K99" s="14" t="s">
        <v>46</v>
      </c>
      <c r="L99" s="14"/>
      <c r="M99" s="14"/>
    </row>
    <row r="100" customFormat="false" ht="33.75" hidden="false" customHeight="true" outlineLevel="0" collapsed="false">
      <c r="B100" s="8" t="n">
        <f aca="false">SUMIF('AB玉 増減明細'!$A$4:$A$23,"建築",'AB玉 増減明細'!$E$4:$E$23)</f>
        <v>462</v>
      </c>
      <c r="C100" s="8"/>
      <c r="D100" s="8"/>
      <c r="E100" s="29" t="n">
        <f aca="false">SUMIF('CD玉 増減明細'!$A$4:$A$25,"建築",'CD玉 増減明細'!$E$4:$E$25)</f>
        <v>0</v>
      </c>
      <c r="F100" s="29"/>
      <c r="G100" s="29"/>
      <c r="H100" s="36" t="n">
        <f aca="false">SUMIF(成約明細!$A$4:$A$16,"建築",成約明細!$C$4:$C$16)</f>
        <v>535</v>
      </c>
      <c r="I100" s="36"/>
      <c r="J100" s="36"/>
      <c r="K100" s="37" t="s">
        <v>47</v>
      </c>
      <c r="L100" s="37"/>
      <c r="M100" s="37"/>
    </row>
    <row r="101" customFormat="false" ht="24" hidden="false" customHeight="true" outlineLevel="0" collapsed="false">
      <c r="B101" s="19" t="s">
        <v>48</v>
      </c>
      <c r="C101" s="19"/>
      <c r="D101" s="19"/>
      <c r="E101" s="20" t="s">
        <v>19</v>
      </c>
      <c r="F101" s="20"/>
      <c r="G101" s="20"/>
      <c r="H101" s="11" t="s">
        <v>49</v>
      </c>
      <c r="I101" s="11"/>
      <c r="J101" s="11"/>
      <c r="K101" s="20" t="s">
        <v>50</v>
      </c>
      <c r="L101" s="20"/>
      <c r="M101" s="20"/>
    </row>
    <row r="103" customFormat="false" ht="27" hidden="false" customHeight="true" outlineLevel="0" collapsed="false">
      <c r="B103" s="3" t="s">
        <v>51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customFormat="false" ht="15" hidden="false" customHeight="true" outlineLevel="0" collapsed="false">
      <c r="B104" s="4" t="s">
        <v>52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customFormat="false" ht="16.5" hidden="false" customHeight="true" outlineLevel="0" collapsed="false">
      <c r="B105" s="38" t="s">
        <v>53</v>
      </c>
      <c r="C105" s="38"/>
      <c r="D105" s="38"/>
      <c r="E105" s="38" t="s">
        <v>54</v>
      </c>
      <c r="F105" s="38"/>
      <c r="G105" s="38"/>
      <c r="H105" s="38" t="s">
        <v>55</v>
      </c>
      <c r="I105" s="38"/>
      <c r="J105" s="38"/>
      <c r="K105" s="38" t="s">
        <v>56</v>
      </c>
      <c r="L105" s="38"/>
      <c r="M105" s="38"/>
    </row>
    <row r="106" customFormat="false" ht="19.5" hidden="false" customHeight="true" outlineLevel="0" collapsed="false">
      <c r="B106" s="39" t="s">
        <v>57</v>
      </c>
      <c r="C106" s="39"/>
      <c r="D106" s="39"/>
      <c r="E106" s="39" t="s">
        <v>58</v>
      </c>
      <c r="F106" s="39"/>
      <c r="G106" s="39"/>
      <c r="H106" s="40" t="s">
        <v>59</v>
      </c>
      <c r="I106" s="40"/>
      <c r="J106" s="40"/>
      <c r="K106" s="39" t="s">
        <v>60</v>
      </c>
      <c r="L106" s="39"/>
      <c r="M106" s="39"/>
    </row>
    <row r="107" customFormat="false" ht="24" hidden="false" customHeight="true" outlineLevel="0" collapsed="false">
      <c r="B107" s="39"/>
      <c r="C107" s="39"/>
      <c r="D107" s="39"/>
      <c r="E107" s="39"/>
      <c r="F107" s="39"/>
      <c r="G107" s="39"/>
      <c r="H107" s="40"/>
      <c r="I107" s="40"/>
      <c r="J107" s="40"/>
      <c r="K107" s="39"/>
      <c r="L107" s="39"/>
      <c r="M107" s="39"/>
    </row>
  </sheetData>
  <mergeCells count="132">
    <mergeCell ref="B2:M2"/>
    <mergeCell ref="B3:M3"/>
    <mergeCell ref="B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4:D14"/>
    <mergeCell ref="E14:G14"/>
    <mergeCell ref="H14:J14"/>
    <mergeCell ref="K14:M14"/>
    <mergeCell ref="B31:M31"/>
    <mergeCell ref="B33:M33"/>
    <mergeCell ref="B34:M34"/>
    <mergeCell ref="B35:D35"/>
    <mergeCell ref="E35:G35"/>
    <mergeCell ref="H35:J35"/>
    <mergeCell ref="K35:M35"/>
    <mergeCell ref="B36:D36"/>
    <mergeCell ref="E36:G36"/>
    <mergeCell ref="H36:J36"/>
    <mergeCell ref="K36:M36"/>
    <mergeCell ref="B37:D37"/>
    <mergeCell ref="E37:G37"/>
    <mergeCell ref="H37:J37"/>
    <mergeCell ref="K37:M37"/>
    <mergeCell ref="B39:M39"/>
    <mergeCell ref="B40:C40"/>
    <mergeCell ref="D40:E40"/>
    <mergeCell ref="F40:G40"/>
    <mergeCell ref="H40:I40"/>
    <mergeCell ref="J40:M40"/>
    <mergeCell ref="B41:C41"/>
    <mergeCell ref="D41:E41"/>
    <mergeCell ref="F41:G41"/>
    <mergeCell ref="H41:I41"/>
    <mergeCell ref="J41:M41"/>
    <mergeCell ref="B42:C42"/>
    <mergeCell ref="D42:E42"/>
    <mergeCell ref="F42:G42"/>
    <mergeCell ref="H42:I42"/>
    <mergeCell ref="J42:M42"/>
    <mergeCell ref="B59:M59"/>
    <mergeCell ref="B60:M60"/>
    <mergeCell ref="B62:M62"/>
    <mergeCell ref="B63:M63"/>
    <mergeCell ref="B64:D64"/>
    <mergeCell ref="E64:G64"/>
    <mergeCell ref="H64:J64"/>
    <mergeCell ref="K64:M64"/>
    <mergeCell ref="B65:D65"/>
    <mergeCell ref="E65:G65"/>
    <mergeCell ref="H65:J65"/>
    <mergeCell ref="K65:M65"/>
    <mergeCell ref="B66:D66"/>
    <mergeCell ref="E66:G66"/>
    <mergeCell ref="H66:J66"/>
    <mergeCell ref="K66:M66"/>
    <mergeCell ref="B68:M68"/>
    <mergeCell ref="B69:C69"/>
    <mergeCell ref="D69:E69"/>
    <mergeCell ref="F69:G69"/>
    <mergeCell ref="H69:I69"/>
    <mergeCell ref="J69:M69"/>
    <mergeCell ref="B70:C70"/>
    <mergeCell ref="D70:E70"/>
    <mergeCell ref="F70:G70"/>
    <mergeCell ref="H70:I70"/>
    <mergeCell ref="J70:M70"/>
    <mergeCell ref="B71:C71"/>
    <mergeCell ref="D71:E71"/>
    <mergeCell ref="F71:G71"/>
    <mergeCell ref="H71:I71"/>
    <mergeCell ref="J71:M71"/>
    <mergeCell ref="B88:M88"/>
    <mergeCell ref="B89:M89"/>
    <mergeCell ref="B91:M91"/>
    <mergeCell ref="B92:M92"/>
    <mergeCell ref="B93:D93"/>
    <mergeCell ref="E93:G93"/>
    <mergeCell ref="H93:J93"/>
    <mergeCell ref="K93:M93"/>
    <mergeCell ref="B94:D94"/>
    <mergeCell ref="E94:G94"/>
    <mergeCell ref="H94:J94"/>
    <mergeCell ref="K94:M94"/>
    <mergeCell ref="B95:D95"/>
    <mergeCell ref="E95:G95"/>
    <mergeCell ref="H95:J95"/>
    <mergeCell ref="K95:M95"/>
    <mergeCell ref="B97:M97"/>
    <mergeCell ref="B98:M98"/>
    <mergeCell ref="B99:D99"/>
    <mergeCell ref="E99:G99"/>
    <mergeCell ref="H99:J99"/>
    <mergeCell ref="K99:M99"/>
    <mergeCell ref="B100:D100"/>
    <mergeCell ref="E100:G100"/>
    <mergeCell ref="H100:J100"/>
    <mergeCell ref="K100:M100"/>
    <mergeCell ref="B101:D101"/>
    <mergeCell ref="E101:G101"/>
    <mergeCell ref="H101:J101"/>
    <mergeCell ref="K101:M101"/>
    <mergeCell ref="B103:M103"/>
    <mergeCell ref="B104:M104"/>
    <mergeCell ref="B105:D105"/>
    <mergeCell ref="E105:G105"/>
    <mergeCell ref="H105:J105"/>
    <mergeCell ref="K105:M105"/>
    <mergeCell ref="B106:D107"/>
    <mergeCell ref="E106:G107"/>
    <mergeCell ref="H106:J107"/>
    <mergeCell ref="K106:M10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/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7.15" hidden="false" customHeight="false" outlineLevel="0" collapsed="false">
      <c r="A1" s="41" t="s">
        <v>61</v>
      </c>
    </row>
    <row r="2" customFormat="false" ht="15" hidden="false" customHeight="false" outlineLevel="0" collapsed="false">
      <c r="A2" s="42" t="s">
        <v>62</v>
      </c>
    </row>
    <row r="3" customFormat="false" ht="15" hidden="false" customHeight="false" outlineLevel="0" collapsed="false">
      <c r="A3" s="43" t="s">
        <v>63</v>
      </c>
      <c r="B3" s="43" t="s">
        <v>64</v>
      </c>
      <c r="C3" s="44" t="s">
        <v>65</v>
      </c>
      <c r="D3" s="44" t="s">
        <v>66</v>
      </c>
      <c r="E3" s="43" t="s">
        <v>6</v>
      </c>
      <c r="F3" s="43" t="s">
        <v>67</v>
      </c>
      <c r="G3" s="44" t="s">
        <v>68</v>
      </c>
      <c r="H3" s="44" t="s">
        <v>69</v>
      </c>
    </row>
    <row r="4" customFormat="false" ht="15" hidden="false" customHeight="false" outlineLevel="0" collapsed="false">
      <c r="A4" s="45" t="s">
        <v>70</v>
      </c>
      <c r="B4" s="45" t="s">
        <v>71</v>
      </c>
      <c r="C4" s="46" t="n">
        <v>0</v>
      </c>
      <c r="D4" s="46" t="n">
        <v>7616</v>
      </c>
      <c r="E4" s="47" t="n">
        <v>7616</v>
      </c>
      <c r="F4" s="45" t="s">
        <v>72</v>
      </c>
      <c r="G4" s="48" t="s">
        <v>73</v>
      </c>
      <c r="H4" s="48" t="s">
        <v>74</v>
      </c>
    </row>
    <row r="5" customFormat="false" ht="15" hidden="false" customHeight="false" outlineLevel="0" collapsed="false">
      <c r="A5" s="49" t="s">
        <v>70</v>
      </c>
      <c r="B5" s="49" t="s">
        <v>75</v>
      </c>
      <c r="C5" s="50" t="n">
        <v>0</v>
      </c>
      <c r="D5" s="50" t="n">
        <v>3000</v>
      </c>
      <c r="E5" s="51" t="n">
        <v>3000</v>
      </c>
      <c r="F5" s="49" t="s">
        <v>72</v>
      </c>
      <c r="G5" s="52" t="s">
        <v>73</v>
      </c>
      <c r="H5" s="52" t="s">
        <v>76</v>
      </c>
    </row>
    <row r="6" customFormat="false" ht="15" hidden="false" customHeight="false" outlineLevel="0" collapsed="false">
      <c r="A6" s="45" t="s">
        <v>70</v>
      </c>
      <c r="B6" s="48" t="s">
        <v>77</v>
      </c>
      <c r="C6" s="46" t="n">
        <v>0</v>
      </c>
      <c r="D6" s="46" t="n">
        <v>1128</v>
      </c>
      <c r="E6" s="47" t="n">
        <v>1128</v>
      </c>
      <c r="F6" s="45" t="s">
        <v>26</v>
      </c>
      <c r="G6" s="45" t="s">
        <v>78</v>
      </c>
      <c r="H6" s="48" t="s">
        <v>74</v>
      </c>
    </row>
    <row r="7" customFormat="false" ht="15" hidden="false" customHeight="false" outlineLevel="0" collapsed="false">
      <c r="A7" s="49" t="s">
        <v>70</v>
      </c>
      <c r="B7" s="49" t="s">
        <v>79</v>
      </c>
      <c r="C7" s="50" t="n">
        <v>0</v>
      </c>
      <c r="D7" s="50" t="n">
        <v>500</v>
      </c>
      <c r="E7" s="51" t="n">
        <v>500</v>
      </c>
      <c r="F7" s="49" t="s">
        <v>72</v>
      </c>
      <c r="G7" s="52" t="s">
        <v>73</v>
      </c>
      <c r="H7" s="52" t="s">
        <v>74</v>
      </c>
    </row>
    <row r="8" customFormat="false" ht="15" hidden="false" customHeight="false" outlineLevel="0" collapsed="false">
      <c r="A8" s="45" t="s">
        <v>80</v>
      </c>
      <c r="B8" s="45" t="s">
        <v>81</v>
      </c>
      <c r="C8" s="46" t="n">
        <v>0</v>
      </c>
      <c r="D8" s="46" t="n">
        <v>462</v>
      </c>
      <c r="E8" s="47" t="n">
        <v>462</v>
      </c>
      <c r="F8" s="45" t="s">
        <v>26</v>
      </c>
      <c r="G8" s="45" t="s">
        <v>78</v>
      </c>
      <c r="H8" s="48" t="s">
        <v>76</v>
      </c>
    </row>
    <row r="9" customFormat="false" ht="15" hidden="false" customHeight="false" outlineLevel="0" collapsed="false">
      <c r="A9" s="49" t="s">
        <v>70</v>
      </c>
      <c r="B9" s="52" t="s">
        <v>82</v>
      </c>
      <c r="C9" s="50" t="n">
        <v>0</v>
      </c>
      <c r="D9" s="50" t="n">
        <v>430</v>
      </c>
      <c r="E9" s="51" t="n">
        <v>430</v>
      </c>
      <c r="F9" s="49" t="s">
        <v>72</v>
      </c>
      <c r="G9" s="52" t="s">
        <v>73</v>
      </c>
      <c r="H9" s="52" t="s">
        <v>76</v>
      </c>
    </row>
    <row r="10" customFormat="false" ht="15" hidden="false" customHeight="false" outlineLevel="0" collapsed="false">
      <c r="A10" s="45" t="s">
        <v>70</v>
      </c>
      <c r="B10" s="45" t="s">
        <v>83</v>
      </c>
      <c r="C10" s="46" t="n">
        <v>0</v>
      </c>
      <c r="D10" s="46" t="n">
        <v>220</v>
      </c>
      <c r="E10" s="47" t="n">
        <v>220</v>
      </c>
      <c r="F10" s="45" t="s">
        <v>27</v>
      </c>
      <c r="G10" s="48" t="s">
        <v>84</v>
      </c>
      <c r="H10" s="48" t="s">
        <v>74</v>
      </c>
    </row>
    <row r="11" customFormat="false" ht="15" hidden="false" customHeight="false" outlineLevel="0" collapsed="false">
      <c r="A11" s="49" t="s">
        <v>70</v>
      </c>
      <c r="B11" s="49" t="s">
        <v>85</v>
      </c>
      <c r="C11" s="50" t="n">
        <v>0</v>
      </c>
      <c r="D11" s="50" t="n">
        <v>173</v>
      </c>
      <c r="E11" s="51" t="n">
        <v>173</v>
      </c>
      <c r="F11" s="49" t="s">
        <v>26</v>
      </c>
      <c r="G11" s="49" t="s">
        <v>78</v>
      </c>
      <c r="H11" s="52" t="s">
        <v>76</v>
      </c>
    </row>
    <row r="12" customFormat="false" ht="15" hidden="false" customHeight="false" outlineLevel="0" collapsed="false">
      <c r="A12" s="45" t="s">
        <v>70</v>
      </c>
      <c r="B12" s="45" t="s">
        <v>86</v>
      </c>
      <c r="C12" s="46" t="n">
        <v>0</v>
      </c>
      <c r="D12" s="46" t="n">
        <v>150</v>
      </c>
      <c r="E12" s="47" t="n">
        <v>150</v>
      </c>
      <c r="F12" s="45" t="s">
        <v>72</v>
      </c>
      <c r="G12" s="48" t="s">
        <v>73</v>
      </c>
      <c r="H12" s="48" t="s">
        <v>74</v>
      </c>
    </row>
    <row r="13" customFormat="false" ht="15" hidden="false" customHeight="false" outlineLevel="0" collapsed="false">
      <c r="A13" s="49" t="s">
        <v>70</v>
      </c>
      <c r="B13" s="49" t="s">
        <v>87</v>
      </c>
      <c r="C13" s="50" t="n">
        <v>0</v>
      </c>
      <c r="D13" s="50" t="n">
        <v>149</v>
      </c>
      <c r="E13" s="51" t="n">
        <v>149</v>
      </c>
      <c r="F13" s="49" t="s">
        <v>26</v>
      </c>
      <c r="G13" s="49" t="s">
        <v>78</v>
      </c>
      <c r="H13" s="52" t="s">
        <v>76</v>
      </c>
    </row>
    <row r="14" customFormat="false" ht="15" hidden="false" customHeight="false" outlineLevel="0" collapsed="false">
      <c r="A14" s="45" t="s">
        <v>70</v>
      </c>
      <c r="B14" s="45" t="s">
        <v>88</v>
      </c>
      <c r="C14" s="46" t="n">
        <v>0</v>
      </c>
      <c r="D14" s="46" t="n">
        <v>120</v>
      </c>
      <c r="E14" s="47" t="n">
        <v>120</v>
      </c>
      <c r="F14" s="45" t="s">
        <v>26</v>
      </c>
      <c r="G14" s="45" t="s">
        <v>78</v>
      </c>
      <c r="H14" s="48" t="s">
        <v>76</v>
      </c>
    </row>
    <row r="15" customFormat="false" ht="15" hidden="false" customHeight="false" outlineLevel="0" collapsed="false">
      <c r="A15" s="49" t="s">
        <v>70</v>
      </c>
      <c r="B15" s="49" t="s">
        <v>89</v>
      </c>
      <c r="C15" s="50" t="n">
        <v>0</v>
      </c>
      <c r="D15" s="50" t="n">
        <v>98</v>
      </c>
      <c r="E15" s="51" t="n">
        <v>98</v>
      </c>
      <c r="F15" s="49" t="s">
        <v>26</v>
      </c>
      <c r="G15" s="49" t="s">
        <v>78</v>
      </c>
      <c r="H15" s="52" t="s">
        <v>76</v>
      </c>
    </row>
    <row r="16" customFormat="false" ht="15" hidden="false" customHeight="false" outlineLevel="0" collapsed="false">
      <c r="A16" s="45" t="s">
        <v>70</v>
      </c>
      <c r="B16" s="45" t="s">
        <v>90</v>
      </c>
      <c r="C16" s="46" t="n">
        <v>0</v>
      </c>
      <c r="D16" s="46" t="n">
        <v>62</v>
      </c>
      <c r="E16" s="47" t="n">
        <v>62</v>
      </c>
      <c r="F16" s="45" t="s">
        <v>26</v>
      </c>
      <c r="G16" s="45" t="s">
        <v>78</v>
      </c>
      <c r="H16" s="48" t="s">
        <v>76</v>
      </c>
    </row>
    <row r="17" customFormat="false" ht="15" hidden="false" customHeight="false" outlineLevel="0" collapsed="false">
      <c r="A17" s="49" t="s">
        <v>70</v>
      </c>
      <c r="B17" s="49" t="s">
        <v>91</v>
      </c>
      <c r="C17" s="50" t="n">
        <v>0</v>
      </c>
      <c r="D17" s="50" t="n">
        <v>62</v>
      </c>
      <c r="E17" s="51" t="n">
        <v>62</v>
      </c>
      <c r="F17" s="49" t="s">
        <v>26</v>
      </c>
      <c r="G17" s="49" t="s">
        <v>78</v>
      </c>
      <c r="H17" s="52" t="s">
        <v>76</v>
      </c>
    </row>
    <row r="18" customFormat="false" ht="15" hidden="false" customHeight="false" outlineLevel="0" collapsed="false">
      <c r="A18" s="45" t="s">
        <v>70</v>
      </c>
      <c r="B18" s="45" t="s">
        <v>92</v>
      </c>
      <c r="C18" s="46" t="n">
        <v>0</v>
      </c>
      <c r="D18" s="46" t="n">
        <v>50</v>
      </c>
      <c r="E18" s="47" t="n">
        <v>50</v>
      </c>
      <c r="F18" s="45" t="s">
        <v>26</v>
      </c>
      <c r="G18" s="45" t="s">
        <v>78</v>
      </c>
      <c r="H18" s="48" t="s">
        <v>76</v>
      </c>
    </row>
    <row r="19" customFormat="false" ht="15" hidden="false" customHeight="false" outlineLevel="0" collapsed="false">
      <c r="A19" s="49" t="s">
        <v>70</v>
      </c>
      <c r="B19" s="49" t="s">
        <v>93</v>
      </c>
      <c r="C19" s="50" t="n">
        <v>1570</v>
      </c>
      <c r="D19" s="50" t="n">
        <v>1616</v>
      </c>
      <c r="E19" s="51" t="n">
        <v>46</v>
      </c>
      <c r="F19" s="49" t="s">
        <v>28</v>
      </c>
      <c r="G19" s="52" t="s">
        <v>76</v>
      </c>
      <c r="H19" s="52" t="s">
        <v>76</v>
      </c>
    </row>
    <row r="20" customFormat="false" ht="15" hidden="false" customHeight="false" outlineLevel="0" collapsed="false">
      <c r="A20" s="45" t="s">
        <v>70</v>
      </c>
      <c r="B20" s="45" t="s">
        <v>94</v>
      </c>
      <c r="C20" s="46" t="n">
        <v>0</v>
      </c>
      <c r="D20" s="46" t="n">
        <v>38</v>
      </c>
      <c r="E20" s="47" t="n">
        <v>38</v>
      </c>
      <c r="F20" s="45" t="s">
        <v>26</v>
      </c>
      <c r="G20" s="45" t="s">
        <v>78</v>
      </c>
      <c r="H20" s="48" t="s">
        <v>76</v>
      </c>
    </row>
    <row r="21" customFormat="false" ht="15" hidden="false" customHeight="false" outlineLevel="0" collapsed="false">
      <c r="A21" s="49" t="s">
        <v>70</v>
      </c>
      <c r="B21" s="52" t="s">
        <v>95</v>
      </c>
      <c r="C21" s="50" t="n">
        <v>0</v>
      </c>
      <c r="D21" s="50" t="n">
        <v>37</v>
      </c>
      <c r="E21" s="51" t="n">
        <v>37</v>
      </c>
      <c r="F21" s="49" t="s">
        <v>26</v>
      </c>
      <c r="G21" s="49" t="s">
        <v>78</v>
      </c>
      <c r="H21" s="52" t="s">
        <v>76</v>
      </c>
    </row>
    <row r="22" customFormat="false" ht="15" hidden="false" customHeight="false" outlineLevel="0" collapsed="false">
      <c r="A22" s="45" t="s">
        <v>70</v>
      </c>
      <c r="B22" s="45" t="s">
        <v>96</v>
      </c>
      <c r="C22" s="46" t="n">
        <v>0</v>
      </c>
      <c r="D22" s="46" t="n">
        <v>12</v>
      </c>
      <c r="E22" s="47" t="n">
        <v>12</v>
      </c>
      <c r="F22" s="45" t="s">
        <v>26</v>
      </c>
      <c r="G22" s="45" t="s">
        <v>78</v>
      </c>
      <c r="H22" s="48" t="s">
        <v>76</v>
      </c>
    </row>
    <row r="23" customFormat="false" ht="15" hidden="false" customHeight="false" outlineLevel="0" collapsed="false">
      <c r="A23" s="49" t="s">
        <v>70</v>
      </c>
      <c r="B23" s="52" t="s">
        <v>97</v>
      </c>
      <c r="C23" s="50" t="n">
        <v>2000</v>
      </c>
      <c r="D23" s="50" t="n">
        <v>1950</v>
      </c>
      <c r="E23" s="51" t="n">
        <v>-50</v>
      </c>
      <c r="F23" s="49" t="s">
        <v>29</v>
      </c>
      <c r="G23" s="52" t="s">
        <v>74</v>
      </c>
      <c r="H23" s="52" t="s">
        <v>76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46"/>
    <col collapsed="false" customWidth="true" hidden="false" outlineLevel="0" max="5" min="3" style="0" width="13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7.15" hidden="false" customHeight="false" outlineLevel="0" collapsed="false">
      <c r="A1" s="41" t="s">
        <v>98</v>
      </c>
    </row>
    <row r="2" customFormat="false" ht="15" hidden="false" customHeight="false" outlineLevel="0" collapsed="false">
      <c r="A2" s="42" t="s">
        <v>99</v>
      </c>
    </row>
    <row r="3" customFormat="false" ht="15" hidden="false" customHeight="false" outlineLevel="0" collapsed="false">
      <c r="A3" s="43" t="s">
        <v>63</v>
      </c>
      <c r="B3" s="43" t="s">
        <v>64</v>
      </c>
      <c r="C3" s="44" t="s">
        <v>100</v>
      </c>
      <c r="D3" s="44" t="s">
        <v>101</v>
      </c>
      <c r="E3" s="43" t="s">
        <v>6</v>
      </c>
      <c r="F3" s="43" t="s">
        <v>67</v>
      </c>
      <c r="G3" s="44" t="s">
        <v>68</v>
      </c>
      <c r="H3" s="44" t="s">
        <v>69</v>
      </c>
    </row>
    <row r="4" customFormat="false" ht="15" hidden="false" customHeight="false" outlineLevel="0" collapsed="false">
      <c r="A4" s="45" t="s">
        <v>70</v>
      </c>
      <c r="B4" s="45" t="s">
        <v>102</v>
      </c>
      <c r="C4" s="46" t="n">
        <v>0</v>
      </c>
      <c r="D4" s="46" t="n">
        <v>5834</v>
      </c>
      <c r="E4" s="47" t="n">
        <v>5834</v>
      </c>
      <c r="F4" s="45" t="s">
        <v>26</v>
      </c>
      <c r="G4" s="45" t="s">
        <v>78</v>
      </c>
      <c r="H4" s="48" t="s">
        <v>73</v>
      </c>
    </row>
    <row r="5" customFormat="false" ht="15" hidden="false" customHeight="false" outlineLevel="0" collapsed="false">
      <c r="A5" s="49" t="s">
        <v>70</v>
      </c>
      <c r="B5" s="49" t="s">
        <v>103</v>
      </c>
      <c r="C5" s="50" t="n">
        <v>0</v>
      </c>
      <c r="D5" s="50" t="n">
        <v>1649</v>
      </c>
      <c r="E5" s="51" t="n">
        <v>1649</v>
      </c>
      <c r="F5" s="49" t="s">
        <v>28</v>
      </c>
      <c r="G5" s="52" t="s">
        <v>84</v>
      </c>
      <c r="H5" s="52" t="s">
        <v>84</v>
      </c>
    </row>
    <row r="6" customFormat="false" ht="15" hidden="false" customHeight="false" outlineLevel="0" collapsed="false">
      <c r="A6" s="45" t="s">
        <v>70</v>
      </c>
      <c r="B6" s="45" t="s">
        <v>104</v>
      </c>
      <c r="C6" s="46" t="n">
        <v>1000</v>
      </c>
      <c r="D6" s="46" t="n">
        <v>2500</v>
      </c>
      <c r="E6" s="47" t="n">
        <v>1500</v>
      </c>
      <c r="F6" s="45" t="s">
        <v>28</v>
      </c>
      <c r="G6" s="48" t="s">
        <v>73</v>
      </c>
      <c r="H6" s="48" t="s">
        <v>73</v>
      </c>
    </row>
    <row r="7" customFormat="false" ht="15" hidden="false" customHeight="false" outlineLevel="0" collapsed="false">
      <c r="A7" s="49" t="s">
        <v>70</v>
      </c>
      <c r="B7" s="49" t="s">
        <v>105</v>
      </c>
      <c r="C7" s="50" t="n">
        <v>0</v>
      </c>
      <c r="D7" s="50" t="n">
        <v>376</v>
      </c>
      <c r="E7" s="51" t="n">
        <v>376</v>
      </c>
      <c r="F7" s="49" t="s">
        <v>28</v>
      </c>
      <c r="G7" s="52" t="s">
        <v>73</v>
      </c>
      <c r="H7" s="52" t="s">
        <v>73</v>
      </c>
    </row>
    <row r="8" customFormat="false" ht="15" hidden="false" customHeight="false" outlineLevel="0" collapsed="false">
      <c r="A8" s="45" t="s">
        <v>70</v>
      </c>
      <c r="B8" s="48" t="s">
        <v>106</v>
      </c>
      <c r="C8" s="46" t="n">
        <v>0</v>
      </c>
      <c r="D8" s="46" t="n">
        <v>360</v>
      </c>
      <c r="E8" s="47" t="n">
        <v>360</v>
      </c>
      <c r="F8" s="45" t="s">
        <v>26</v>
      </c>
      <c r="G8" s="45" t="s">
        <v>78</v>
      </c>
      <c r="H8" s="48" t="s">
        <v>73</v>
      </c>
    </row>
    <row r="9" customFormat="false" ht="15" hidden="false" customHeight="false" outlineLevel="0" collapsed="false">
      <c r="A9" s="49" t="s">
        <v>70</v>
      </c>
      <c r="B9" s="49" t="s">
        <v>107</v>
      </c>
      <c r="C9" s="50" t="n">
        <v>920</v>
      </c>
      <c r="D9" s="50" t="n">
        <v>1250</v>
      </c>
      <c r="E9" s="51" t="n">
        <v>330</v>
      </c>
      <c r="F9" s="49" t="s">
        <v>28</v>
      </c>
      <c r="G9" s="52" t="s">
        <v>73</v>
      </c>
      <c r="H9" s="52" t="s">
        <v>73</v>
      </c>
    </row>
    <row r="10" customFormat="false" ht="15" hidden="false" customHeight="false" outlineLevel="0" collapsed="false">
      <c r="A10" s="45" t="s">
        <v>70</v>
      </c>
      <c r="B10" s="48" t="s">
        <v>108</v>
      </c>
      <c r="C10" s="46" t="n">
        <v>0</v>
      </c>
      <c r="D10" s="46" t="n">
        <v>265</v>
      </c>
      <c r="E10" s="47" t="n">
        <v>265</v>
      </c>
      <c r="F10" s="45" t="s">
        <v>26</v>
      </c>
      <c r="G10" s="45" t="s">
        <v>78</v>
      </c>
      <c r="H10" s="48" t="s">
        <v>73</v>
      </c>
    </row>
    <row r="11" customFormat="false" ht="15" hidden="false" customHeight="false" outlineLevel="0" collapsed="false">
      <c r="A11" s="49" t="s">
        <v>70</v>
      </c>
      <c r="B11" s="49" t="s">
        <v>109</v>
      </c>
      <c r="C11" s="50" t="n">
        <v>0</v>
      </c>
      <c r="D11" s="50" t="n">
        <v>235</v>
      </c>
      <c r="E11" s="51" t="n">
        <v>235</v>
      </c>
      <c r="F11" s="49" t="s">
        <v>26</v>
      </c>
      <c r="G11" s="49" t="s">
        <v>78</v>
      </c>
      <c r="H11" s="52" t="s">
        <v>73</v>
      </c>
    </row>
    <row r="12" customFormat="false" ht="15" hidden="false" customHeight="false" outlineLevel="0" collapsed="false">
      <c r="A12" s="45" t="s">
        <v>70</v>
      </c>
      <c r="B12" s="45" t="s">
        <v>110</v>
      </c>
      <c r="C12" s="46" t="n">
        <v>0</v>
      </c>
      <c r="D12" s="46" t="n">
        <v>120</v>
      </c>
      <c r="E12" s="47" t="n">
        <v>120</v>
      </c>
      <c r="F12" s="45" t="s">
        <v>26</v>
      </c>
      <c r="G12" s="45" t="s">
        <v>78</v>
      </c>
      <c r="H12" s="48" t="s">
        <v>73</v>
      </c>
    </row>
    <row r="13" customFormat="false" ht="15" hidden="false" customHeight="false" outlineLevel="0" collapsed="false">
      <c r="A13" s="49" t="s">
        <v>70</v>
      </c>
      <c r="B13" s="49" t="s">
        <v>111</v>
      </c>
      <c r="C13" s="50" t="n">
        <v>0</v>
      </c>
      <c r="D13" s="50" t="n">
        <v>80</v>
      </c>
      <c r="E13" s="51" t="n">
        <v>80</v>
      </c>
      <c r="F13" s="49" t="s">
        <v>26</v>
      </c>
      <c r="G13" s="49" t="s">
        <v>78</v>
      </c>
      <c r="H13" s="52" t="s">
        <v>73</v>
      </c>
    </row>
    <row r="14" customFormat="false" ht="15" hidden="false" customHeight="false" outlineLevel="0" collapsed="false">
      <c r="A14" s="45" t="s">
        <v>70</v>
      </c>
      <c r="B14" s="45" t="s">
        <v>112</v>
      </c>
      <c r="C14" s="46" t="n">
        <v>0</v>
      </c>
      <c r="D14" s="46" t="n">
        <v>10</v>
      </c>
      <c r="E14" s="47" t="n">
        <v>10</v>
      </c>
      <c r="F14" s="45" t="s">
        <v>26</v>
      </c>
      <c r="G14" s="45" t="s">
        <v>78</v>
      </c>
      <c r="H14" s="48" t="s">
        <v>73</v>
      </c>
    </row>
    <row r="15" customFormat="false" ht="15" hidden="false" customHeight="false" outlineLevel="0" collapsed="false">
      <c r="A15" s="49" t="s">
        <v>70</v>
      </c>
      <c r="B15" s="49" t="s">
        <v>113</v>
      </c>
      <c r="C15" s="50" t="n">
        <v>106</v>
      </c>
      <c r="D15" s="50" t="n">
        <v>70</v>
      </c>
      <c r="E15" s="51" t="n">
        <v>-36</v>
      </c>
      <c r="F15" s="49" t="s">
        <v>29</v>
      </c>
      <c r="G15" s="52" t="s">
        <v>73</v>
      </c>
      <c r="H15" s="52" t="s">
        <v>73</v>
      </c>
    </row>
    <row r="16" customFormat="false" ht="15" hidden="false" customHeight="false" outlineLevel="0" collapsed="false">
      <c r="A16" s="45" t="s">
        <v>70</v>
      </c>
      <c r="B16" s="48" t="s">
        <v>114</v>
      </c>
      <c r="C16" s="46" t="n">
        <v>140</v>
      </c>
      <c r="D16" s="46" t="n">
        <v>0</v>
      </c>
      <c r="E16" s="47" t="n">
        <v>-140</v>
      </c>
      <c r="F16" s="45" t="s">
        <v>36</v>
      </c>
      <c r="G16" s="48" t="s">
        <v>73</v>
      </c>
      <c r="H16" s="48" t="s">
        <v>73</v>
      </c>
    </row>
    <row r="17" customFormat="false" ht="15" hidden="false" customHeight="false" outlineLevel="0" collapsed="false">
      <c r="A17" s="49" t="s">
        <v>70</v>
      </c>
      <c r="B17" s="52" t="s">
        <v>82</v>
      </c>
      <c r="C17" s="50" t="n">
        <v>300</v>
      </c>
      <c r="D17" s="50" t="n">
        <v>0</v>
      </c>
      <c r="E17" s="51" t="n">
        <v>-300</v>
      </c>
      <c r="F17" s="49" t="s">
        <v>72</v>
      </c>
      <c r="G17" s="52" t="s">
        <v>73</v>
      </c>
      <c r="H17" s="52" t="s">
        <v>76</v>
      </c>
    </row>
    <row r="18" customFormat="false" ht="15" hidden="false" customHeight="false" outlineLevel="0" collapsed="false">
      <c r="A18" s="45" t="s">
        <v>70</v>
      </c>
      <c r="B18" s="45" t="s">
        <v>79</v>
      </c>
      <c r="C18" s="46" t="n">
        <v>500</v>
      </c>
      <c r="D18" s="46" t="n">
        <v>0</v>
      </c>
      <c r="E18" s="47" t="n">
        <v>-500</v>
      </c>
      <c r="F18" s="45" t="s">
        <v>72</v>
      </c>
      <c r="G18" s="48" t="s">
        <v>73</v>
      </c>
      <c r="H18" s="48" t="s">
        <v>74</v>
      </c>
    </row>
    <row r="19" customFormat="false" ht="15" hidden="false" customHeight="false" outlineLevel="0" collapsed="false">
      <c r="A19" s="49" t="s">
        <v>70</v>
      </c>
      <c r="B19" s="49" t="s">
        <v>115</v>
      </c>
      <c r="C19" s="50" t="n">
        <v>785</v>
      </c>
      <c r="D19" s="50" t="n">
        <v>0</v>
      </c>
      <c r="E19" s="51" t="n">
        <v>-785</v>
      </c>
      <c r="F19" s="49" t="s">
        <v>36</v>
      </c>
      <c r="G19" s="52" t="s">
        <v>73</v>
      </c>
      <c r="H19" s="52" t="s">
        <v>73</v>
      </c>
    </row>
    <row r="20" customFormat="false" ht="15" hidden="false" customHeight="false" outlineLevel="0" collapsed="false">
      <c r="A20" s="45" t="s">
        <v>70</v>
      </c>
      <c r="B20" s="45" t="s">
        <v>116</v>
      </c>
      <c r="C20" s="46" t="n">
        <v>800</v>
      </c>
      <c r="D20" s="46" t="n">
        <v>0</v>
      </c>
      <c r="E20" s="47" t="n">
        <v>-800</v>
      </c>
      <c r="F20" s="45" t="s">
        <v>36</v>
      </c>
      <c r="G20" s="48" t="s">
        <v>73</v>
      </c>
      <c r="H20" s="48" t="s">
        <v>73</v>
      </c>
    </row>
    <row r="21" customFormat="false" ht="15" hidden="false" customHeight="false" outlineLevel="0" collapsed="false">
      <c r="A21" s="49" t="s">
        <v>70</v>
      </c>
      <c r="B21" s="49" t="s">
        <v>71</v>
      </c>
      <c r="C21" s="50" t="n">
        <v>1000</v>
      </c>
      <c r="D21" s="50" t="n">
        <v>0</v>
      </c>
      <c r="E21" s="51" t="n">
        <v>-1000</v>
      </c>
      <c r="F21" s="49" t="s">
        <v>72</v>
      </c>
      <c r="G21" s="52" t="s">
        <v>73</v>
      </c>
      <c r="H21" s="52" t="s">
        <v>74</v>
      </c>
    </row>
    <row r="22" customFormat="false" ht="15" hidden="false" customHeight="false" outlineLevel="0" collapsed="false">
      <c r="A22" s="45" t="s">
        <v>70</v>
      </c>
      <c r="B22" s="45" t="s">
        <v>117</v>
      </c>
      <c r="C22" s="46" t="n">
        <v>1000</v>
      </c>
      <c r="D22" s="46" t="n">
        <v>0</v>
      </c>
      <c r="E22" s="47" t="n">
        <v>-1000</v>
      </c>
      <c r="F22" s="45" t="s">
        <v>36</v>
      </c>
      <c r="G22" s="48" t="s">
        <v>73</v>
      </c>
      <c r="H22" s="48" t="s">
        <v>73</v>
      </c>
    </row>
    <row r="23" customFormat="false" ht="15" hidden="false" customHeight="false" outlineLevel="0" collapsed="false">
      <c r="A23" s="49" t="s">
        <v>70</v>
      </c>
      <c r="B23" s="49" t="s">
        <v>118</v>
      </c>
      <c r="C23" s="50" t="n">
        <v>1300</v>
      </c>
      <c r="D23" s="50" t="n">
        <v>0</v>
      </c>
      <c r="E23" s="51" t="n">
        <v>-1300</v>
      </c>
      <c r="F23" s="49" t="s">
        <v>36</v>
      </c>
      <c r="G23" s="52" t="s">
        <v>84</v>
      </c>
      <c r="H23" s="52" t="s">
        <v>84</v>
      </c>
    </row>
    <row r="24" customFormat="false" ht="15" hidden="false" customHeight="false" outlineLevel="0" collapsed="false">
      <c r="A24" s="45" t="s">
        <v>70</v>
      </c>
      <c r="B24" s="45" t="s">
        <v>119</v>
      </c>
      <c r="C24" s="46" t="n">
        <v>1572</v>
      </c>
      <c r="D24" s="46" t="n">
        <v>0</v>
      </c>
      <c r="E24" s="47" t="n">
        <v>-1572</v>
      </c>
      <c r="F24" s="45" t="s">
        <v>36</v>
      </c>
      <c r="G24" s="48" t="s">
        <v>73</v>
      </c>
      <c r="H24" s="48" t="s">
        <v>73</v>
      </c>
    </row>
    <row r="25" customFormat="false" ht="15" hidden="false" customHeight="false" outlineLevel="0" collapsed="false">
      <c r="A25" s="49" t="s">
        <v>70</v>
      </c>
      <c r="B25" s="49" t="s">
        <v>75</v>
      </c>
      <c r="C25" s="50" t="n">
        <v>3352</v>
      </c>
      <c r="D25" s="50" t="n">
        <v>0</v>
      </c>
      <c r="E25" s="51" t="n">
        <v>-3352</v>
      </c>
      <c r="F25" s="49" t="s">
        <v>72</v>
      </c>
      <c r="G25" s="52" t="s">
        <v>73</v>
      </c>
      <c r="H25" s="52" t="s">
        <v>76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17.15" hidden="false" customHeight="false" outlineLevel="0" collapsed="false">
      <c r="A1" s="41" t="s">
        <v>120</v>
      </c>
    </row>
    <row r="2" customFormat="false" ht="15" hidden="false" customHeight="false" outlineLevel="0" collapsed="false">
      <c r="A2" s="53" t="s">
        <v>121</v>
      </c>
    </row>
    <row r="3" customFormat="false" ht="15" hidden="false" customHeight="false" outlineLevel="0" collapsed="false">
      <c r="A3" s="43" t="s">
        <v>63</v>
      </c>
      <c r="B3" s="43" t="s">
        <v>64</v>
      </c>
      <c r="C3" s="43" t="s">
        <v>122</v>
      </c>
      <c r="D3" s="43" t="s">
        <v>123</v>
      </c>
      <c r="E3" s="43" t="s">
        <v>124</v>
      </c>
    </row>
    <row r="4" customFormat="false" ht="15" hidden="false" customHeight="false" outlineLevel="0" collapsed="false">
      <c r="A4" s="45" t="s">
        <v>70</v>
      </c>
      <c r="B4" s="45" t="s">
        <v>125</v>
      </c>
      <c r="C4" s="46" t="n">
        <v>3640</v>
      </c>
      <c r="D4" s="48" t="s">
        <v>126</v>
      </c>
      <c r="E4" s="48" t="s">
        <v>127</v>
      </c>
    </row>
    <row r="5" customFormat="false" ht="15" hidden="false" customHeight="false" outlineLevel="0" collapsed="false">
      <c r="A5" s="49" t="s">
        <v>70</v>
      </c>
      <c r="B5" s="49" t="s">
        <v>75</v>
      </c>
      <c r="C5" s="50" t="n">
        <v>3000</v>
      </c>
      <c r="D5" s="52" t="s">
        <v>126</v>
      </c>
      <c r="E5" s="52" t="s">
        <v>128</v>
      </c>
    </row>
    <row r="6" customFormat="false" ht="15" hidden="false" customHeight="false" outlineLevel="0" collapsed="false">
      <c r="A6" s="45" t="s">
        <v>70</v>
      </c>
      <c r="B6" s="48" t="s">
        <v>129</v>
      </c>
      <c r="C6" s="46" t="n">
        <v>3000</v>
      </c>
      <c r="D6" s="48" t="s">
        <v>130</v>
      </c>
      <c r="E6" s="48" t="s">
        <v>131</v>
      </c>
    </row>
    <row r="7" customFormat="false" ht="15" hidden="false" customHeight="false" outlineLevel="0" collapsed="false">
      <c r="A7" s="49" t="s">
        <v>70</v>
      </c>
      <c r="B7" s="52" t="s">
        <v>97</v>
      </c>
      <c r="C7" s="50" t="n">
        <v>1950</v>
      </c>
      <c r="D7" s="52" t="s">
        <v>130</v>
      </c>
      <c r="E7" s="52" t="s">
        <v>131</v>
      </c>
    </row>
    <row r="8" customFormat="false" ht="15" hidden="false" customHeight="false" outlineLevel="0" collapsed="false">
      <c r="A8" s="45" t="s">
        <v>70</v>
      </c>
      <c r="B8" s="45" t="s">
        <v>132</v>
      </c>
      <c r="C8" s="46" t="n">
        <v>1384</v>
      </c>
      <c r="D8" s="48" t="s">
        <v>130</v>
      </c>
      <c r="E8" s="48" t="s">
        <v>133</v>
      </c>
    </row>
    <row r="9" customFormat="false" ht="15" hidden="false" customHeight="false" outlineLevel="0" collapsed="false">
      <c r="A9" s="49" t="s">
        <v>80</v>
      </c>
      <c r="B9" s="52" t="s">
        <v>134</v>
      </c>
      <c r="C9" s="50" t="n">
        <v>535</v>
      </c>
      <c r="D9" s="52" t="s">
        <v>130</v>
      </c>
      <c r="E9" s="52" t="s">
        <v>135</v>
      </c>
    </row>
    <row r="10" customFormat="false" ht="15" hidden="false" customHeight="false" outlineLevel="0" collapsed="false">
      <c r="A10" s="45" t="s">
        <v>70</v>
      </c>
      <c r="B10" s="48" t="s">
        <v>82</v>
      </c>
      <c r="C10" s="46" t="n">
        <v>430</v>
      </c>
      <c r="D10" s="48" t="s">
        <v>126</v>
      </c>
      <c r="E10" s="48" t="s">
        <v>136</v>
      </c>
    </row>
    <row r="11" customFormat="false" ht="15" hidden="false" customHeight="false" outlineLevel="0" collapsed="false">
      <c r="A11" s="49" t="s">
        <v>70</v>
      </c>
      <c r="B11" s="49" t="s">
        <v>87</v>
      </c>
      <c r="C11" s="50" t="n">
        <v>149</v>
      </c>
      <c r="D11" s="52" t="s">
        <v>126</v>
      </c>
      <c r="E11" s="52" t="s">
        <v>137</v>
      </c>
    </row>
    <row r="12" customFormat="false" ht="15" hidden="false" customHeight="false" outlineLevel="0" collapsed="false">
      <c r="A12" s="45" t="s">
        <v>70</v>
      </c>
      <c r="B12" s="45" t="s">
        <v>88</v>
      </c>
      <c r="C12" s="46" t="n">
        <v>120</v>
      </c>
      <c r="D12" s="48" t="s">
        <v>126</v>
      </c>
      <c r="E12" s="48" t="s">
        <v>138</v>
      </c>
    </row>
    <row r="13" customFormat="false" ht="15" hidden="false" customHeight="false" outlineLevel="0" collapsed="false">
      <c r="A13" s="49" t="s">
        <v>70</v>
      </c>
      <c r="B13" s="49" t="s">
        <v>90</v>
      </c>
      <c r="C13" s="50" t="n">
        <v>62</v>
      </c>
      <c r="D13" s="52" t="s">
        <v>126</v>
      </c>
      <c r="E13" s="52" t="s">
        <v>135</v>
      </c>
    </row>
    <row r="14" customFormat="false" ht="15" hidden="false" customHeight="false" outlineLevel="0" collapsed="false">
      <c r="A14" s="45" t="s">
        <v>70</v>
      </c>
      <c r="B14" s="45" t="s">
        <v>91</v>
      </c>
      <c r="C14" s="46" t="n">
        <v>62</v>
      </c>
      <c r="D14" s="48" t="s">
        <v>126</v>
      </c>
      <c r="E14" s="48" t="s">
        <v>139</v>
      </c>
    </row>
    <row r="15" customFormat="false" ht="15" hidden="false" customHeight="false" outlineLevel="0" collapsed="false">
      <c r="A15" s="49" t="s">
        <v>70</v>
      </c>
      <c r="B15" s="49" t="s">
        <v>94</v>
      </c>
      <c r="C15" s="50" t="n">
        <v>38</v>
      </c>
      <c r="D15" s="52" t="s">
        <v>126</v>
      </c>
      <c r="E15" s="52" t="s">
        <v>140</v>
      </c>
    </row>
    <row r="16" customFormat="false" ht="15" hidden="false" customHeight="false" outlineLevel="0" collapsed="false">
      <c r="A16" s="45" t="s">
        <v>70</v>
      </c>
      <c r="B16" s="45" t="s">
        <v>96</v>
      </c>
      <c r="C16" s="46" t="n">
        <v>12</v>
      </c>
      <c r="D16" s="48" t="s">
        <v>130</v>
      </c>
      <c r="E16" s="48" t="s">
        <v>141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7" min="6" style="0" width="12"/>
  </cols>
  <sheetData>
    <row r="1" customFormat="false" ht="17.15" hidden="false" customHeight="false" outlineLevel="0" collapsed="false">
      <c r="A1" s="41" t="s">
        <v>142</v>
      </c>
    </row>
    <row r="2" customFormat="false" ht="15" hidden="false" customHeight="false" outlineLevel="0" collapsed="false">
      <c r="A2" s="53" t="s">
        <v>143</v>
      </c>
    </row>
    <row r="3" customFormat="false" ht="15" hidden="false" customHeight="false" outlineLevel="0" collapsed="false">
      <c r="A3" s="43" t="s">
        <v>63</v>
      </c>
      <c r="B3" s="43" t="s">
        <v>64</v>
      </c>
      <c r="C3" s="43" t="s">
        <v>122</v>
      </c>
      <c r="D3" s="43" t="s">
        <v>144</v>
      </c>
      <c r="E3" s="43" t="s">
        <v>145</v>
      </c>
      <c r="F3" s="43" t="s">
        <v>146</v>
      </c>
      <c r="G3" s="43" t="s">
        <v>147</v>
      </c>
    </row>
    <row r="4" customFormat="false" ht="15" hidden="false" customHeight="false" outlineLevel="0" collapsed="false">
      <c r="A4" s="45" t="s">
        <v>70</v>
      </c>
      <c r="B4" s="45" t="s">
        <v>102</v>
      </c>
      <c r="C4" s="46" t="n">
        <v>5834</v>
      </c>
      <c r="D4" s="48" t="s">
        <v>73</v>
      </c>
      <c r="E4" s="48" t="s">
        <v>126</v>
      </c>
      <c r="F4" s="48" t="s">
        <v>148</v>
      </c>
      <c r="G4" s="45"/>
    </row>
    <row r="5" customFormat="false" ht="15" hidden="false" customHeight="false" outlineLevel="0" collapsed="false">
      <c r="A5" s="49" t="s">
        <v>70</v>
      </c>
      <c r="B5" s="52" t="s">
        <v>77</v>
      </c>
      <c r="C5" s="50" t="n">
        <v>1128</v>
      </c>
      <c r="D5" s="52" t="s">
        <v>74</v>
      </c>
      <c r="E5" s="52" t="s">
        <v>126</v>
      </c>
      <c r="F5" s="52" t="s">
        <v>149</v>
      </c>
      <c r="G5" s="49"/>
    </row>
    <row r="6" customFormat="false" ht="15" hidden="false" customHeight="false" outlineLevel="0" collapsed="false">
      <c r="A6" s="45" t="s">
        <v>80</v>
      </c>
      <c r="B6" s="45" t="s">
        <v>81</v>
      </c>
      <c r="C6" s="46" t="n">
        <v>462</v>
      </c>
      <c r="D6" s="48" t="s">
        <v>76</v>
      </c>
      <c r="E6" s="48" t="s">
        <v>126</v>
      </c>
      <c r="F6" s="48" t="s">
        <v>150</v>
      </c>
      <c r="G6" s="45"/>
    </row>
    <row r="7" customFormat="false" ht="15" hidden="false" customHeight="false" outlineLevel="0" collapsed="false">
      <c r="A7" s="49" t="s">
        <v>70</v>
      </c>
      <c r="B7" s="52" t="s">
        <v>106</v>
      </c>
      <c r="C7" s="50" t="n">
        <v>360</v>
      </c>
      <c r="D7" s="52" t="s">
        <v>73</v>
      </c>
      <c r="E7" s="52" t="s">
        <v>126</v>
      </c>
      <c r="F7" s="52" t="s">
        <v>148</v>
      </c>
      <c r="G7" s="49"/>
    </row>
    <row r="8" customFormat="false" ht="15" hidden="false" customHeight="false" outlineLevel="0" collapsed="false">
      <c r="A8" s="45" t="s">
        <v>70</v>
      </c>
      <c r="B8" s="48" t="s">
        <v>108</v>
      </c>
      <c r="C8" s="46" t="n">
        <v>265</v>
      </c>
      <c r="D8" s="48" t="s">
        <v>73</v>
      </c>
      <c r="E8" s="48" t="s">
        <v>151</v>
      </c>
      <c r="F8" s="48" t="s">
        <v>152</v>
      </c>
      <c r="G8" s="45"/>
    </row>
    <row r="9" customFormat="false" ht="15" hidden="false" customHeight="false" outlineLevel="0" collapsed="false">
      <c r="A9" s="49" t="s">
        <v>70</v>
      </c>
      <c r="B9" s="49" t="s">
        <v>109</v>
      </c>
      <c r="C9" s="50" t="n">
        <v>235</v>
      </c>
      <c r="D9" s="52" t="s">
        <v>73</v>
      </c>
      <c r="E9" s="52" t="s">
        <v>126</v>
      </c>
      <c r="F9" s="52" t="s">
        <v>152</v>
      </c>
      <c r="G9" s="49"/>
    </row>
    <row r="10" customFormat="false" ht="15" hidden="false" customHeight="false" outlineLevel="0" collapsed="false">
      <c r="A10" s="45" t="s">
        <v>70</v>
      </c>
      <c r="B10" s="45" t="s">
        <v>85</v>
      </c>
      <c r="C10" s="46" t="n">
        <v>173</v>
      </c>
      <c r="D10" s="48" t="s">
        <v>76</v>
      </c>
      <c r="E10" s="48" t="s">
        <v>126</v>
      </c>
      <c r="F10" s="48" t="s">
        <v>153</v>
      </c>
      <c r="G10" s="45"/>
    </row>
    <row r="11" customFormat="false" ht="15" hidden="false" customHeight="false" outlineLevel="0" collapsed="false">
      <c r="A11" s="49" t="s">
        <v>70</v>
      </c>
      <c r="B11" s="49" t="s">
        <v>87</v>
      </c>
      <c r="C11" s="50" t="n">
        <v>149</v>
      </c>
      <c r="D11" s="52" t="s">
        <v>76</v>
      </c>
      <c r="E11" s="52" t="s">
        <v>154</v>
      </c>
      <c r="F11" s="52" t="s">
        <v>153</v>
      </c>
      <c r="G11" s="49"/>
    </row>
    <row r="12" customFormat="false" ht="15" hidden="false" customHeight="false" outlineLevel="0" collapsed="false">
      <c r="A12" s="45" t="s">
        <v>70</v>
      </c>
      <c r="B12" s="45" t="s">
        <v>88</v>
      </c>
      <c r="C12" s="46" t="n">
        <v>120</v>
      </c>
      <c r="D12" s="48" t="s">
        <v>76</v>
      </c>
      <c r="E12" s="48" t="s">
        <v>154</v>
      </c>
      <c r="F12" s="48" t="s">
        <v>152</v>
      </c>
      <c r="G12" s="45"/>
    </row>
    <row r="13" customFormat="false" ht="15" hidden="false" customHeight="false" outlineLevel="0" collapsed="false">
      <c r="A13" s="49" t="s">
        <v>70</v>
      </c>
      <c r="B13" s="49" t="s">
        <v>110</v>
      </c>
      <c r="C13" s="50" t="n">
        <v>120</v>
      </c>
      <c r="D13" s="52" t="s">
        <v>73</v>
      </c>
      <c r="E13" s="52" t="s">
        <v>126</v>
      </c>
      <c r="F13" s="52" t="s">
        <v>152</v>
      </c>
      <c r="G13" s="49"/>
    </row>
    <row r="14" customFormat="false" ht="15" hidden="false" customHeight="false" outlineLevel="0" collapsed="false">
      <c r="A14" s="45" t="s">
        <v>70</v>
      </c>
      <c r="B14" s="45" t="s">
        <v>89</v>
      </c>
      <c r="C14" s="46" t="n">
        <v>98</v>
      </c>
      <c r="D14" s="48" t="s">
        <v>76</v>
      </c>
      <c r="E14" s="48" t="s">
        <v>154</v>
      </c>
      <c r="F14" s="48" t="s">
        <v>152</v>
      </c>
      <c r="G14" s="45"/>
    </row>
    <row r="15" customFormat="false" ht="15" hidden="false" customHeight="false" outlineLevel="0" collapsed="false">
      <c r="A15" s="49" t="s">
        <v>70</v>
      </c>
      <c r="B15" s="49" t="s">
        <v>111</v>
      </c>
      <c r="C15" s="50" t="n">
        <v>80</v>
      </c>
      <c r="D15" s="52" t="s">
        <v>73</v>
      </c>
      <c r="E15" s="52" t="s">
        <v>126</v>
      </c>
      <c r="F15" s="52" t="s">
        <v>148</v>
      </c>
      <c r="G15" s="49"/>
    </row>
    <row r="16" customFormat="false" ht="15" hidden="false" customHeight="false" outlineLevel="0" collapsed="false">
      <c r="A16" s="45" t="s">
        <v>70</v>
      </c>
      <c r="B16" s="45" t="s">
        <v>90</v>
      </c>
      <c r="C16" s="46" t="n">
        <v>62</v>
      </c>
      <c r="D16" s="48" t="s">
        <v>76</v>
      </c>
      <c r="E16" s="48" t="s">
        <v>154</v>
      </c>
      <c r="F16" s="48" t="s">
        <v>153</v>
      </c>
      <c r="G16" s="45"/>
    </row>
    <row r="17" customFormat="false" ht="15" hidden="false" customHeight="false" outlineLevel="0" collapsed="false">
      <c r="A17" s="49" t="s">
        <v>70</v>
      </c>
      <c r="B17" s="49" t="s">
        <v>91</v>
      </c>
      <c r="C17" s="50" t="n">
        <v>62</v>
      </c>
      <c r="D17" s="52" t="s">
        <v>76</v>
      </c>
      <c r="E17" s="52" t="s">
        <v>154</v>
      </c>
      <c r="F17" s="52" t="s">
        <v>153</v>
      </c>
      <c r="G17" s="49"/>
    </row>
    <row r="18" customFormat="false" ht="15" hidden="false" customHeight="false" outlineLevel="0" collapsed="false">
      <c r="A18" s="45" t="s">
        <v>70</v>
      </c>
      <c r="B18" s="45" t="s">
        <v>92</v>
      </c>
      <c r="C18" s="46" t="n">
        <v>50</v>
      </c>
      <c r="D18" s="48" t="s">
        <v>76</v>
      </c>
      <c r="E18" s="48" t="s">
        <v>154</v>
      </c>
      <c r="F18" s="48" t="s">
        <v>153</v>
      </c>
      <c r="G18" s="45"/>
    </row>
    <row r="19" customFormat="false" ht="15" hidden="false" customHeight="false" outlineLevel="0" collapsed="false">
      <c r="A19" s="49" t="s">
        <v>70</v>
      </c>
      <c r="B19" s="52" t="s">
        <v>155</v>
      </c>
      <c r="C19" s="50" t="n">
        <v>50</v>
      </c>
      <c r="D19" s="52" t="s">
        <v>74</v>
      </c>
      <c r="E19" s="52" t="s">
        <v>130</v>
      </c>
      <c r="F19" s="52" t="s">
        <v>156</v>
      </c>
      <c r="G19" s="49"/>
    </row>
    <row r="20" customFormat="false" ht="15" hidden="false" customHeight="false" outlineLevel="0" collapsed="false">
      <c r="A20" s="45" t="s">
        <v>70</v>
      </c>
      <c r="B20" s="45" t="s">
        <v>94</v>
      </c>
      <c r="C20" s="46" t="n">
        <v>38</v>
      </c>
      <c r="D20" s="48" t="s">
        <v>76</v>
      </c>
      <c r="E20" s="48" t="s">
        <v>154</v>
      </c>
      <c r="F20" s="48" t="s">
        <v>153</v>
      </c>
      <c r="G20" s="45"/>
    </row>
    <row r="21" customFormat="false" ht="15" hidden="false" customHeight="false" outlineLevel="0" collapsed="false">
      <c r="A21" s="49" t="s">
        <v>70</v>
      </c>
      <c r="B21" s="52" t="s">
        <v>95</v>
      </c>
      <c r="C21" s="50" t="n">
        <v>37</v>
      </c>
      <c r="D21" s="52" t="s">
        <v>76</v>
      </c>
      <c r="E21" s="52" t="s">
        <v>130</v>
      </c>
      <c r="F21" s="52" t="s">
        <v>152</v>
      </c>
      <c r="G21" s="49"/>
    </row>
    <row r="22" customFormat="false" ht="15" hidden="false" customHeight="false" outlineLevel="0" collapsed="false">
      <c r="A22" s="45" t="s">
        <v>70</v>
      </c>
      <c r="B22" s="45" t="s">
        <v>96</v>
      </c>
      <c r="C22" s="46" t="n">
        <v>12</v>
      </c>
      <c r="D22" s="48" t="s">
        <v>76</v>
      </c>
      <c r="E22" s="48" t="s">
        <v>154</v>
      </c>
      <c r="F22" s="48" t="s">
        <v>153</v>
      </c>
      <c r="G22" s="45"/>
    </row>
    <row r="23" customFormat="false" ht="15" hidden="false" customHeight="false" outlineLevel="0" collapsed="false">
      <c r="A23" s="49" t="s">
        <v>70</v>
      </c>
      <c r="B23" s="49" t="s">
        <v>112</v>
      </c>
      <c r="C23" s="50" t="n">
        <v>10</v>
      </c>
      <c r="D23" s="52" t="s">
        <v>73</v>
      </c>
      <c r="E23" s="52" t="s">
        <v>130</v>
      </c>
      <c r="F23" s="52" t="s">
        <v>152</v>
      </c>
      <c r="G23" s="49"/>
    </row>
    <row r="24" customFormat="false" ht="15" hidden="false" customHeight="false" outlineLevel="0" collapsed="false">
      <c r="A24" s="45" t="s">
        <v>70</v>
      </c>
      <c r="B24" s="45" t="s">
        <v>157</v>
      </c>
      <c r="C24" s="46" t="n">
        <v>0</v>
      </c>
      <c r="D24" s="48" t="s">
        <v>84</v>
      </c>
      <c r="E24" s="48" t="s">
        <v>126</v>
      </c>
      <c r="F24" s="48" t="s">
        <v>149</v>
      </c>
      <c r="G24" s="48" t="s">
        <v>158</v>
      </c>
    </row>
    <row r="25" customFormat="false" ht="15" hidden="false" customHeight="false" outlineLevel="0" collapsed="false">
      <c r="A25" s="49" t="s">
        <v>70</v>
      </c>
      <c r="B25" s="49" t="s">
        <v>159</v>
      </c>
      <c r="C25" s="50" t="n">
        <v>0</v>
      </c>
      <c r="D25" s="52" t="s">
        <v>84</v>
      </c>
      <c r="E25" s="52" t="s">
        <v>126</v>
      </c>
      <c r="F25" s="52" t="s">
        <v>160</v>
      </c>
      <c r="G25" s="52" t="s">
        <v>158</v>
      </c>
    </row>
    <row r="26" customFormat="false" ht="15" hidden="false" customHeight="false" outlineLevel="0" collapsed="false">
      <c r="A26" s="45" t="s">
        <v>70</v>
      </c>
      <c r="B26" s="45" t="s">
        <v>161</v>
      </c>
      <c r="C26" s="46" t="n">
        <v>0</v>
      </c>
      <c r="D26" s="48" t="s">
        <v>73</v>
      </c>
      <c r="E26" s="48" t="s">
        <v>126</v>
      </c>
      <c r="F26" s="48" t="s">
        <v>152</v>
      </c>
      <c r="G26" s="48" t="s">
        <v>158</v>
      </c>
    </row>
    <row r="27" customFormat="false" ht="15" hidden="false" customHeight="false" outlineLevel="0" collapsed="false">
      <c r="A27" s="49" t="s">
        <v>70</v>
      </c>
      <c r="B27" s="49" t="s">
        <v>162</v>
      </c>
      <c r="C27" s="50" t="n">
        <v>0</v>
      </c>
      <c r="D27" s="52" t="s">
        <v>84</v>
      </c>
      <c r="E27" s="52" t="s">
        <v>126</v>
      </c>
      <c r="F27" s="52" t="s">
        <v>163</v>
      </c>
      <c r="G27" s="52" t="s">
        <v>158</v>
      </c>
    </row>
    <row r="28" customFormat="false" ht="15" hidden="false" customHeight="false" outlineLevel="0" collapsed="false">
      <c r="A28" s="45" t="s">
        <v>70</v>
      </c>
      <c r="B28" s="48" t="s">
        <v>164</v>
      </c>
      <c r="C28" s="46" t="n">
        <v>0</v>
      </c>
      <c r="D28" s="48" t="s">
        <v>73</v>
      </c>
      <c r="E28" s="48" t="s">
        <v>126</v>
      </c>
      <c r="F28" s="48" t="s">
        <v>165</v>
      </c>
      <c r="G28" s="48" t="s">
        <v>158</v>
      </c>
    </row>
    <row r="29" customFormat="false" ht="15" hidden="false" customHeight="false" outlineLevel="0" collapsed="false">
      <c r="A29" s="49" t="s">
        <v>70</v>
      </c>
      <c r="B29" s="49" t="s">
        <v>166</v>
      </c>
      <c r="C29" s="50" t="n">
        <v>0</v>
      </c>
      <c r="D29" s="52" t="s">
        <v>84</v>
      </c>
      <c r="E29" s="52" t="s">
        <v>126</v>
      </c>
      <c r="F29" s="52" t="s">
        <v>149</v>
      </c>
      <c r="G29" s="52" t="s">
        <v>158</v>
      </c>
    </row>
    <row r="30" customFormat="false" ht="15" hidden="false" customHeight="false" outlineLevel="0" collapsed="false">
      <c r="A30" s="45" t="s">
        <v>70</v>
      </c>
      <c r="B30" s="45" t="s">
        <v>167</v>
      </c>
      <c r="C30" s="46" t="n">
        <v>0</v>
      </c>
      <c r="D30" s="48" t="s">
        <v>84</v>
      </c>
      <c r="E30" s="48" t="s">
        <v>126</v>
      </c>
      <c r="F30" s="48" t="s">
        <v>150</v>
      </c>
      <c r="G30" s="48" t="s">
        <v>158</v>
      </c>
    </row>
    <row r="31" customFormat="false" ht="15" hidden="false" customHeight="false" outlineLevel="0" collapsed="false">
      <c r="A31" s="49" t="s">
        <v>70</v>
      </c>
      <c r="B31" s="49" t="s">
        <v>168</v>
      </c>
      <c r="C31" s="50" t="n">
        <v>0</v>
      </c>
      <c r="D31" s="52" t="s">
        <v>73</v>
      </c>
      <c r="E31" s="52" t="s">
        <v>126</v>
      </c>
      <c r="F31" s="52" t="s">
        <v>169</v>
      </c>
      <c r="G31" s="52" t="s">
        <v>158</v>
      </c>
    </row>
    <row r="32" customFormat="false" ht="15" hidden="false" customHeight="false" outlineLevel="0" collapsed="false">
      <c r="A32" s="45" t="s">
        <v>70</v>
      </c>
      <c r="B32" s="45" t="s">
        <v>170</v>
      </c>
      <c r="C32" s="46" t="n">
        <v>0</v>
      </c>
      <c r="D32" s="48" t="s">
        <v>73</v>
      </c>
      <c r="E32" s="48" t="s">
        <v>126</v>
      </c>
      <c r="F32" s="48" t="s">
        <v>171</v>
      </c>
      <c r="G32" s="48" t="s">
        <v>158</v>
      </c>
    </row>
    <row r="33" customFormat="false" ht="15" hidden="false" customHeight="false" outlineLevel="0" collapsed="false">
      <c r="A33" s="49" t="s">
        <v>70</v>
      </c>
      <c r="B33" s="49" t="s">
        <v>172</v>
      </c>
      <c r="C33" s="50" t="n">
        <v>0</v>
      </c>
      <c r="D33" s="52" t="s">
        <v>84</v>
      </c>
      <c r="E33" s="52" t="s">
        <v>173</v>
      </c>
      <c r="F33" s="52" t="s">
        <v>148</v>
      </c>
      <c r="G33" s="52" t="s">
        <v>158</v>
      </c>
    </row>
    <row r="34" customFormat="false" ht="15" hidden="false" customHeight="false" outlineLevel="0" collapsed="false">
      <c r="A34" s="45" t="s">
        <v>70</v>
      </c>
      <c r="B34" s="45" t="s">
        <v>174</v>
      </c>
      <c r="C34" s="46" t="n">
        <v>0</v>
      </c>
      <c r="D34" s="48" t="s">
        <v>84</v>
      </c>
      <c r="E34" s="48" t="s">
        <v>126</v>
      </c>
      <c r="F34" s="48" t="s">
        <v>152</v>
      </c>
      <c r="G34" s="48" t="s">
        <v>158</v>
      </c>
    </row>
    <row r="35" customFormat="false" ht="15" hidden="false" customHeight="false" outlineLevel="0" collapsed="false">
      <c r="A35" s="49" t="s">
        <v>70</v>
      </c>
      <c r="B35" s="49" t="s">
        <v>175</v>
      </c>
      <c r="C35" s="50" t="n">
        <v>0</v>
      </c>
      <c r="D35" s="52" t="s">
        <v>73</v>
      </c>
      <c r="E35" s="52" t="s">
        <v>126</v>
      </c>
      <c r="F35" s="52" t="s">
        <v>176</v>
      </c>
      <c r="G35" s="52" t="s">
        <v>158</v>
      </c>
    </row>
    <row r="36" customFormat="false" ht="15" hidden="false" customHeight="false" outlineLevel="0" collapsed="false">
      <c r="A36" s="45" t="s">
        <v>70</v>
      </c>
      <c r="B36" s="45" t="s">
        <v>177</v>
      </c>
      <c r="C36" s="46" t="n">
        <v>0</v>
      </c>
      <c r="D36" s="48" t="s">
        <v>73</v>
      </c>
      <c r="E36" s="48" t="s">
        <v>126</v>
      </c>
      <c r="F36" s="48" t="s">
        <v>178</v>
      </c>
      <c r="G36" s="48" t="s">
        <v>158</v>
      </c>
    </row>
    <row r="37" customFormat="false" ht="15" hidden="false" customHeight="false" outlineLevel="0" collapsed="false">
      <c r="A37" s="49" t="s">
        <v>70</v>
      </c>
      <c r="B37" s="49" t="s">
        <v>179</v>
      </c>
      <c r="C37" s="50" t="n">
        <v>0</v>
      </c>
      <c r="D37" s="52" t="s">
        <v>84</v>
      </c>
      <c r="E37" s="52" t="s">
        <v>126</v>
      </c>
      <c r="F37" s="52" t="s">
        <v>180</v>
      </c>
      <c r="G37" s="52" t="s">
        <v>158</v>
      </c>
    </row>
    <row r="38" customFormat="false" ht="15" hidden="false" customHeight="false" outlineLevel="0" collapsed="false">
      <c r="A38" s="45" t="s">
        <v>70</v>
      </c>
      <c r="B38" s="45" t="s">
        <v>181</v>
      </c>
      <c r="C38" s="46" t="n">
        <v>0</v>
      </c>
      <c r="D38" s="48" t="s">
        <v>73</v>
      </c>
      <c r="E38" s="48" t="s">
        <v>126</v>
      </c>
      <c r="F38" s="48" t="s">
        <v>178</v>
      </c>
      <c r="G38" s="48" t="s">
        <v>158</v>
      </c>
    </row>
    <row r="39" customFormat="false" ht="15" hidden="false" customHeight="false" outlineLevel="0" collapsed="false">
      <c r="A39" s="49" t="s">
        <v>70</v>
      </c>
      <c r="B39" s="49" t="s">
        <v>182</v>
      </c>
      <c r="C39" s="50" t="n">
        <v>0</v>
      </c>
      <c r="D39" s="52" t="s">
        <v>84</v>
      </c>
      <c r="E39" s="52" t="s">
        <v>126</v>
      </c>
      <c r="F39" s="52" t="s">
        <v>149</v>
      </c>
      <c r="G39" s="52" t="s">
        <v>158</v>
      </c>
    </row>
    <row r="40" customFormat="false" ht="15" hidden="false" customHeight="false" outlineLevel="0" collapsed="false">
      <c r="A40" s="45" t="s">
        <v>70</v>
      </c>
      <c r="B40" s="45" t="s">
        <v>183</v>
      </c>
      <c r="C40" s="46" t="n">
        <v>0</v>
      </c>
      <c r="D40" s="48" t="s">
        <v>84</v>
      </c>
      <c r="E40" s="48" t="s">
        <v>126</v>
      </c>
      <c r="F40" s="48" t="s">
        <v>184</v>
      </c>
      <c r="G40" s="48" t="s">
        <v>158</v>
      </c>
    </row>
    <row r="41" customFormat="false" ht="15" hidden="false" customHeight="false" outlineLevel="0" collapsed="false">
      <c r="A41" s="49" t="s">
        <v>70</v>
      </c>
      <c r="B41" s="49" t="s">
        <v>185</v>
      </c>
      <c r="C41" s="50" t="n">
        <v>0</v>
      </c>
      <c r="D41" s="52" t="s">
        <v>84</v>
      </c>
      <c r="E41" s="52" t="s">
        <v>126</v>
      </c>
      <c r="F41" s="52" t="s">
        <v>184</v>
      </c>
      <c r="G41" s="52" t="s">
        <v>158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50"/>
    <col collapsed="false" customWidth="true" hidden="false" outlineLevel="0" max="3" min="3" style="0" width="13"/>
    <col collapsed="false" customWidth="true" hidden="false" outlineLevel="0" max="4" min="4" style="0" width="8"/>
    <col collapsed="false" customWidth="true" hidden="false" outlineLevel="0" max="5" min="5" style="0" width="18"/>
  </cols>
  <sheetData>
    <row r="1" customFormat="false" ht="17.15" hidden="false" customHeight="false" outlineLevel="0" collapsed="false">
      <c r="A1" s="41" t="s">
        <v>186</v>
      </c>
    </row>
    <row r="2" customFormat="false" ht="15" hidden="false" customHeight="false" outlineLevel="0" collapsed="false">
      <c r="A2" s="53" t="s">
        <v>187</v>
      </c>
    </row>
    <row r="3" customFormat="false" ht="15" hidden="false" customHeight="false" outlineLevel="0" collapsed="false">
      <c r="A3" s="43" t="s">
        <v>63</v>
      </c>
      <c r="B3" s="43" t="s">
        <v>64</v>
      </c>
      <c r="C3" s="43" t="s">
        <v>122</v>
      </c>
      <c r="D3" s="43" t="s">
        <v>144</v>
      </c>
      <c r="E3" s="43" t="s">
        <v>188</v>
      </c>
    </row>
    <row r="4" customFormat="false" ht="15" hidden="false" customHeight="false" outlineLevel="0" collapsed="false">
      <c r="A4" s="45" t="s">
        <v>70</v>
      </c>
      <c r="B4" s="45" t="s">
        <v>119</v>
      </c>
      <c r="C4" s="46" t="n">
        <v>1572</v>
      </c>
      <c r="D4" s="48" t="s">
        <v>73</v>
      </c>
      <c r="E4" s="48" t="s">
        <v>126</v>
      </c>
    </row>
    <row r="5" customFormat="false" ht="15" hidden="false" customHeight="false" outlineLevel="0" collapsed="false">
      <c r="A5" s="49" t="s">
        <v>70</v>
      </c>
      <c r="B5" s="49" t="s">
        <v>118</v>
      </c>
      <c r="C5" s="50" t="n">
        <v>1300</v>
      </c>
      <c r="D5" s="52" t="s">
        <v>84</v>
      </c>
      <c r="E5" s="52" t="s">
        <v>126</v>
      </c>
    </row>
    <row r="6" customFormat="false" ht="15" hidden="false" customHeight="false" outlineLevel="0" collapsed="false">
      <c r="A6" s="45" t="s">
        <v>70</v>
      </c>
      <c r="B6" s="45" t="s">
        <v>117</v>
      </c>
      <c r="C6" s="46" t="n">
        <v>1000</v>
      </c>
      <c r="D6" s="48" t="s">
        <v>73</v>
      </c>
      <c r="E6" s="48" t="s">
        <v>173</v>
      </c>
    </row>
    <row r="7" customFormat="false" ht="15" hidden="false" customHeight="false" outlineLevel="0" collapsed="false">
      <c r="A7" s="49" t="s">
        <v>70</v>
      </c>
      <c r="B7" s="49" t="s">
        <v>116</v>
      </c>
      <c r="C7" s="50" t="n">
        <v>800</v>
      </c>
      <c r="D7" s="52" t="s">
        <v>73</v>
      </c>
      <c r="E7" s="52" t="s">
        <v>126</v>
      </c>
    </row>
    <row r="8" customFormat="false" ht="15" hidden="false" customHeight="false" outlineLevel="0" collapsed="false">
      <c r="A8" s="45" t="s">
        <v>70</v>
      </c>
      <c r="B8" s="45" t="s">
        <v>115</v>
      </c>
      <c r="C8" s="46" t="n">
        <v>785</v>
      </c>
      <c r="D8" s="48" t="s">
        <v>73</v>
      </c>
      <c r="E8" s="48" t="s">
        <v>126</v>
      </c>
    </row>
    <row r="9" customFormat="false" ht="15" hidden="false" customHeight="false" outlineLevel="0" collapsed="false">
      <c r="A9" s="49" t="s">
        <v>70</v>
      </c>
      <c r="B9" s="52" t="s">
        <v>114</v>
      </c>
      <c r="C9" s="50" t="n">
        <v>140</v>
      </c>
      <c r="D9" s="52" t="s">
        <v>73</v>
      </c>
      <c r="E9" s="52" t="s">
        <v>151</v>
      </c>
    </row>
    <row r="10" customFormat="false" ht="15" hidden="false" customHeight="false" outlineLevel="0" collapsed="false">
      <c r="A10" s="45" t="s">
        <v>70</v>
      </c>
      <c r="B10" s="45" t="s">
        <v>189</v>
      </c>
      <c r="C10" s="46" t="n">
        <v>0</v>
      </c>
      <c r="D10" s="48" t="s">
        <v>73</v>
      </c>
      <c r="E10" s="48" t="s">
        <v>126</v>
      </c>
    </row>
    <row r="11" customFormat="false" ht="15" hidden="false" customHeight="false" outlineLevel="0" collapsed="false">
      <c r="A11" s="49" t="s">
        <v>70</v>
      </c>
      <c r="B11" s="49" t="s">
        <v>190</v>
      </c>
      <c r="C11" s="50" t="n">
        <v>0</v>
      </c>
      <c r="D11" s="52" t="s">
        <v>73</v>
      </c>
      <c r="E11" s="52" t="s">
        <v>173</v>
      </c>
    </row>
    <row r="12" customFormat="false" ht="15" hidden="false" customHeight="false" outlineLevel="0" collapsed="false">
      <c r="A12" s="45" t="s">
        <v>70</v>
      </c>
      <c r="B12" s="45" t="s">
        <v>191</v>
      </c>
      <c r="C12" s="46" t="n">
        <v>0</v>
      </c>
      <c r="D12" s="48" t="s">
        <v>73</v>
      </c>
      <c r="E12" s="48" t="s">
        <v>126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4"/>
  </cols>
  <sheetData>
    <row r="1" customFormat="false" ht="16.15" hidden="false" customHeight="false" outlineLevel="0" collapsed="false">
      <c r="A1" s="54" t="s">
        <v>192</v>
      </c>
    </row>
    <row r="2" customFormat="false" ht="15" hidden="false" customHeight="false" outlineLevel="0" collapsed="false">
      <c r="A2" s="53" t="s">
        <v>193</v>
      </c>
    </row>
    <row r="4" customFormat="false" ht="15" hidden="false" customHeight="false" outlineLevel="0" collapsed="false">
      <c r="A4" s="55" t="s">
        <v>194</v>
      </c>
      <c r="B4" s="56" t="s">
        <v>195</v>
      </c>
      <c r="C4" s="56" t="s">
        <v>196</v>
      </c>
      <c r="D4" s="55" t="s">
        <v>197</v>
      </c>
      <c r="E4" s="56" t="s">
        <v>198</v>
      </c>
    </row>
    <row r="5" customFormat="false" ht="15" hidden="false" customHeight="false" outlineLevel="0" collapsed="false">
      <c r="A5" s="57" t="s">
        <v>199</v>
      </c>
      <c r="B5" s="58" t="n">
        <f aca="false">B6-SUMIF('AB玉 増減明細'!$A$4:$A$23,"コーデ+TREEBATON",'AB玉 増減明細'!$E$4:$E$23)</f>
        <v>85477</v>
      </c>
      <c r="C5" s="58" t="n">
        <f aca="false">C6-SUMIF('CD玉 増減明細'!$A$4:$A$25,"コーデ+TREEBATON",'CD玉 増減明細'!$E$4:$E$25)</f>
        <v>183826</v>
      </c>
      <c r="D5" s="59" t="n">
        <v>300</v>
      </c>
      <c r="E5" s="60" t="n">
        <f aca="false">SUM(B5:D5)</f>
        <v>269603</v>
      </c>
    </row>
    <row r="6" customFormat="false" ht="15" hidden="false" customHeight="false" outlineLevel="0" collapsed="false">
      <c r="A6" s="57" t="s">
        <v>200</v>
      </c>
      <c r="B6" s="59" t="n">
        <v>99318</v>
      </c>
      <c r="C6" s="59" t="n">
        <v>183800</v>
      </c>
      <c r="D6" s="59" t="n">
        <v>300</v>
      </c>
      <c r="E6" s="60" t="n">
        <f aca="false">SUM(B6:D6)</f>
        <v>283418</v>
      </c>
    </row>
    <row r="7" customFormat="false" ht="15" hidden="false" customHeight="false" outlineLevel="0" collapsed="false">
      <c r="A7" s="61" t="s">
        <v>6</v>
      </c>
      <c r="B7" s="62" t="n">
        <f aca="false">B6-B5</f>
        <v>13841</v>
      </c>
      <c r="C7" s="62" t="n">
        <f aca="false">C6-C5</f>
        <v>-26</v>
      </c>
      <c r="D7" s="62" t="n">
        <f aca="false">D6-D5</f>
        <v>0</v>
      </c>
      <c r="E7" s="62" t="n">
        <f aca="false">E6-E5</f>
        <v>13815</v>
      </c>
    </row>
    <row r="9" customFormat="false" ht="15" hidden="false" customHeight="false" outlineLevel="0" collapsed="false">
      <c r="A9" s="63" t="s">
        <v>201</v>
      </c>
    </row>
    <row r="10" customFormat="false" ht="15" hidden="false" customHeight="false" outlineLevel="0" collapsed="false">
      <c r="A10" s="45" t="s">
        <v>72</v>
      </c>
      <c r="B10" s="58" t="n">
        <f aca="false">SUMIFS('AB玉 増減明細'!$E$4:$E$23,'AB玉 増減明細'!$F$4:$F$23,"確度UP（CD→AB）",'AB玉 増減明細'!$A$4:$A$23,"コーデ+TREEBATON")</f>
        <v>11696</v>
      </c>
    </row>
    <row r="11" customFormat="false" ht="15" hidden="false" customHeight="false" outlineLevel="0" collapsed="false">
      <c r="A11" s="45" t="s">
        <v>26</v>
      </c>
      <c r="B11" s="58" t="n">
        <f aca="false">SUMIFS('AB玉 増減明細'!$E$4:$E$23,'AB玉 増減明細'!$F$4:$F$23,"新規作成",'AB玉 増減明細'!$A$4:$A$23,"コーデ+TREEBATON")</f>
        <v>1929</v>
      </c>
    </row>
    <row r="12" customFormat="false" ht="15" hidden="false" customHeight="false" outlineLevel="0" collapsed="false">
      <c r="A12" s="45" t="s">
        <v>202</v>
      </c>
      <c r="B12" s="58" t="n">
        <f aca="false">SUMIFS('AB玉 増減明細'!$E$4:$E$23,'AB玉 増減明細'!$F$4:$F$23,"失注から復活",'AB玉 増減明細'!$A$4:$A$23,"コーデ+TREEBATON")+SUMIFS('AB玉 増減明細'!$E$4:$E$23,'AB玉 増減明細'!$F$4:$F$23,"増額",'AB玉 増減明細'!$A$4:$A$23,"コーデ+TREEBATON")</f>
        <v>266</v>
      </c>
    </row>
    <row r="13" customFormat="false" ht="15" hidden="false" customHeight="false" outlineLevel="0" collapsed="false">
      <c r="A13" s="64" t="s">
        <v>203</v>
      </c>
      <c r="B13" s="65" t="n">
        <f aca="false">SUMIFS('AB玉 増減明細'!$E$4:$E$23,'AB玉 増減明細'!$F$4:$F$23,"減額",'AB玉 増減明細'!$A$4:$A$23,"コーデ+TREEBATON")</f>
        <v>-50</v>
      </c>
    </row>
    <row r="16" customFormat="false" ht="15" hidden="false" customHeight="false" outlineLevel="0" collapsed="false">
      <c r="A16" s="63" t="s">
        <v>204</v>
      </c>
    </row>
    <row r="17" customFormat="false" ht="15" hidden="false" customHeight="false" outlineLevel="0" collapsed="false">
      <c r="A17" s="45" t="s">
        <v>26</v>
      </c>
      <c r="B17" s="58" t="n">
        <f aca="false">SUMIFS('CD玉 増減明細'!$E$4:$E$25,'CD玉 増減明細'!$F$4:$F$25,"新規作成",'CD玉 増減明細'!$A$4:$A$25,"コーデ+TREEBATON")</f>
        <v>6904</v>
      </c>
    </row>
    <row r="18" customFormat="false" ht="15" hidden="false" customHeight="false" outlineLevel="0" collapsed="false">
      <c r="A18" s="45" t="s">
        <v>28</v>
      </c>
      <c r="B18" s="58" t="n">
        <f aca="false">SUMIFS('CD玉 増減明細'!$E$4:$E$25,'CD玉 増減明細'!$F$4:$F$25,"増額",'CD玉 増減明細'!$A$4:$A$25,"コーデ+TREEBATON")</f>
        <v>3855</v>
      </c>
    </row>
    <row r="20" customFormat="false" ht="15" hidden="false" customHeight="false" outlineLevel="0" collapsed="false">
      <c r="A20" s="66" t="s">
        <v>205</v>
      </c>
    </row>
    <row r="21" customFormat="false" ht="15" hidden="false" customHeight="false" outlineLevel="0" collapsed="false">
      <c r="A21" s="45" t="s">
        <v>36</v>
      </c>
      <c r="B21" s="58" t="n">
        <f aca="false">ABS(SUMIFS('CD玉 増減明細'!$E$4:$E$25,'CD玉 増減明細'!$F$4:$F$25,"失注",'CD玉 増減明細'!$A$4:$A$25,"コーデ+TREEBATON"))</f>
        <v>5597</v>
      </c>
    </row>
    <row r="22" customFormat="false" ht="15" hidden="false" customHeight="false" outlineLevel="0" collapsed="false">
      <c r="A22" s="45" t="s">
        <v>206</v>
      </c>
      <c r="B22" s="58" t="n">
        <f aca="false">ABS(SUMIFS('CD玉 増減明細'!$E$4:$E$25,'CD玉 増減明細'!$F$4:$F$25,"確度UP（CD→AB）",'CD玉 増減明細'!$A$4:$A$25,"コーデ+TREEBATON"))</f>
        <v>5152</v>
      </c>
    </row>
    <row r="23" customFormat="false" ht="15" hidden="false" customHeight="false" outlineLevel="0" collapsed="false">
      <c r="A23" s="45" t="s">
        <v>29</v>
      </c>
      <c r="B23" s="58" t="n">
        <f aca="false">ABS(SUMIFS('CD玉 増減明細'!$E$4:$E$25,'CD玉 増減明細'!$F$4:$F$25,"減額",'CD玉 増減明細'!$A$4:$A$25,"コーデ+TREEBATON"))</f>
        <v>36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4"/>
  </cols>
  <sheetData>
    <row r="1" customFormat="false" ht="16.15" hidden="false" customHeight="false" outlineLevel="0" collapsed="false">
      <c r="A1" s="54" t="s">
        <v>207</v>
      </c>
    </row>
    <row r="3" customFormat="false" ht="15" hidden="false" customHeight="false" outlineLevel="0" collapsed="false">
      <c r="A3" s="67" t="s">
        <v>208</v>
      </c>
      <c r="B3" s="68"/>
    </row>
    <row r="4" customFormat="false" ht="15" hidden="false" customHeight="false" outlineLevel="0" collapsed="false">
      <c r="A4" s="69" t="s">
        <v>209</v>
      </c>
      <c r="B4" s="70" t="s">
        <v>210</v>
      </c>
    </row>
    <row r="5" customFormat="false" ht="15" hidden="false" customHeight="false" outlineLevel="0" collapsed="false">
      <c r="A5" s="69" t="s">
        <v>211</v>
      </c>
      <c r="B5" s="68" t="s">
        <v>212</v>
      </c>
    </row>
    <row r="6" customFormat="false" ht="15" hidden="false" customHeight="false" outlineLevel="0" collapsed="false">
      <c r="A6" s="69" t="s">
        <v>213</v>
      </c>
      <c r="B6" s="70" t="s">
        <v>214</v>
      </c>
    </row>
    <row r="7" customFormat="false" ht="15" hidden="false" customHeight="false" outlineLevel="0" collapsed="false">
      <c r="A7" s="71"/>
      <c r="B7" s="70"/>
    </row>
    <row r="8" customFormat="false" ht="15" hidden="false" customHeight="false" outlineLevel="0" collapsed="false">
      <c r="A8" s="67" t="s">
        <v>215</v>
      </c>
      <c r="B8" s="70"/>
    </row>
    <row r="9" customFormat="false" ht="14.15" hidden="false" customHeight="false" outlineLevel="0" collapsed="false">
      <c r="A9" s="72" t="s">
        <v>216</v>
      </c>
      <c r="B9" s="68" t="s">
        <v>217</v>
      </c>
    </row>
    <row r="10" customFormat="false" ht="14.15" hidden="false" customHeight="false" outlineLevel="0" collapsed="false">
      <c r="A10" s="72" t="s">
        <v>218</v>
      </c>
      <c r="B10" s="70" t="s">
        <v>219</v>
      </c>
    </row>
    <row r="11" customFormat="false" ht="14.15" hidden="false" customHeight="false" outlineLevel="0" collapsed="false">
      <c r="A11" s="72" t="s">
        <v>220</v>
      </c>
      <c r="B11" s="70" t="s">
        <v>221</v>
      </c>
    </row>
    <row r="12" customFormat="false" ht="15" hidden="false" customHeight="false" outlineLevel="0" collapsed="false">
      <c r="A12" s="69" t="s">
        <v>197</v>
      </c>
      <c r="B12" s="70" t="s">
        <v>222</v>
      </c>
    </row>
    <row r="13" customFormat="false" ht="14.15" hidden="false" customHeight="false" outlineLevel="0" collapsed="false">
      <c r="A13" s="69" t="s">
        <v>223</v>
      </c>
      <c r="B13" s="68" t="s">
        <v>224</v>
      </c>
    </row>
    <row r="14" customFormat="false" ht="15" hidden="false" customHeight="false" outlineLevel="0" collapsed="false">
      <c r="A14" s="71"/>
      <c r="B14" s="70"/>
    </row>
    <row r="15" customFormat="false" ht="15" hidden="false" customHeight="false" outlineLevel="0" collapsed="false">
      <c r="A15" s="67" t="s">
        <v>225</v>
      </c>
      <c r="B15" s="70"/>
    </row>
    <row r="16" customFormat="false" ht="14.15" hidden="false" customHeight="false" outlineLevel="0" collapsed="false">
      <c r="A16" s="72" t="s">
        <v>226</v>
      </c>
      <c r="B16" s="68" t="s">
        <v>227</v>
      </c>
    </row>
    <row r="17" customFormat="false" ht="14.15" hidden="false" customHeight="false" outlineLevel="0" collapsed="false">
      <c r="A17" s="72" t="s">
        <v>228</v>
      </c>
      <c r="B17" s="68" t="s">
        <v>229</v>
      </c>
    </row>
    <row r="18" customFormat="false" ht="14.15" hidden="false" customHeight="false" outlineLevel="0" collapsed="false">
      <c r="A18" s="72" t="s">
        <v>230</v>
      </c>
      <c r="B18" s="68" t="s">
        <v>231</v>
      </c>
    </row>
    <row r="19" customFormat="false" ht="15" hidden="false" customHeight="false" outlineLevel="0" collapsed="false">
      <c r="A19" s="72" t="s">
        <v>232</v>
      </c>
      <c r="B19" s="70" t="s">
        <v>233</v>
      </c>
    </row>
    <row r="20" customFormat="false" ht="15" hidden="false" customHeight="false" outlineLevel="0" collapsed="false">
      <c r="A20" s="69" t="s">
        <v>234</v>
      </c>
      <c r="B20" s="70" t="s">
        <v>235</v>
      </c>
    </row>
    <row r="21" customFormat="false" ht="15" hidden="false" customHeight="false" outlineLevel="0" collapsed="false">
      <c r="A21" s="71"/>
      <c r="B21" s="70"/>
    </row>
    <row r="22" customFormat="false" ht="15" hidden="false" customHeight="false" outlineLevel="0" collapsed="false">
      <c r="A22" s="67" t="s">
        <v>236</v>
      </c>
      <c r="B22" s="70"/>
    </row>
    <row r="23" customFormat="false" ht="15" hidden="false" customHeight="false" outlineLevel="0" collapsed="false">
      <c r="A23" s="69" t="s">
        <v>237</v>
      </c>
      <c r="B23" s="70" t="s">
        <v>238</v>
      </c>
    </row>
    <row r="24" customFormat="false" ht="15" hidden="false" customHeight="false" outlineLevel="0" collapsed="false">
      <c r="A24" s="69" t="s">
        <v>239</v>
      </c>
      <c r="B24" s="70" t="s">
        <v>240</v>
      </c>
    </row>
    <row r="25" customFormat="false" ht="15" hidden="false" customHeight="false" outlineLevel="0" collapsed="false">
      <c r="A25" s="71"/>
      <c r="B25" s="70"/>
    </row>
    <row r="26" customFormat="false" ht="15" hidden="false" customHeight="false" outlineLevel="0" collapsed="false">
      <c r="A26" s="67" t="s">
        <v>241</v>
      </c>
      <c r="B26" s="70"/>
    </row>
    <row r="27" customFormat="false" ht="15" hidden="false" customHeight="false" outlineLevel="0" collapsed="false">
      <c r="A27" s="69" t="s">
        <v>242</v>
      </c>
      <c r="B27" s="70" t="s">
        <v>243</v>
      </c>
    </row>
    <row r="28" customFormat="false" ht="14.15" hidden="false" customHeight="false" outlineLevel="0" collapsed="false">
      <c r="A28" s="72" t="s">
        <v>244</v>
      </c>
      <c r="B28" s="70" t="s">
        <v>245</v>
      </c>
    </row>
    <row r="29" customFormat="false" ht="15" hidden="false" customHeight="false" outlineLevel="0" collapsed="false">
      <c r="A29" s="69" t="s">
        <v>147</v>
      </c>
      <c r="B29" s="70" t="s">
        <v>246</v>
      </c>
    </row>
    <row r="30" customFormat="false" ht="15" hidden="false" customHeight="false" outlineLevel="0" collapsed="false">
      <c r="A30" s="69" t="s">
        <v>247</v>
      </c>
      <c r="B30" s="70" t="s">
        <v>248</v>
      </c>
    </row>
    <row r="31" customFormat="false" ht="14.15" hidden="false" customHeight="false" outlineLevel="0" collapsed="false">
      <c r="A31" s="72" t="s">
        <v>249</v>
      </c>
      <c r="B31" s="68" t="s">
        <v>250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2026-10-05T22:57:29Z</dcterms:created>
  <dc:creator>openpyxl</dc:creator>
  <dc:description/>
  <dc:language>en-US</dc:language>
  <cp:lastModifiedBy/>
  <dcterms:modified xsi:type="dcterms:W3CDTF">2026-10-05T22:57:31Z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