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" sheetId="1" state="visible" r:id="rId3"/>
    <sheet name="Sheet" sheetId="2" state="visible" r:id="rId4"/>
    <sheet name="増減明細" sheetId="3" state="visible" r:id="rId5"/>
    <sheet name="成約明細" sheetId="4" state="visible" r:id="rId6"/>
    <sheet name="新規作成明細" sheetId="5" state="visible" r:id="rId7"/>
    <sheet name="失注明細" sheetId="6" state="visible" r:id="rId8"/>
    <sheet name="算出方法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<sst xmlns="http://schemas.openxmlformats.org/spreadsheetml/2006/main" count="570" uniqueCount="221">
  <si>
    <r>
      <rPr>
        <b val="true"/>
        <sz val="16"/>
        <color rgb="FF2C5F2D"/>
        <rFont val="Meiryo"/>
        <family val="0"/>
        <charset val="1"/>
      </rPr>
      <t xml:space="preserve">9</t>
    </r>
    <r>
      <rPr>
        <b val="true"/>
        <sz val="16"/>
        <color rgb="FF2C5F2D"/>
        <rFont val="WenQuanYi Zen Hei"/>
        <family val="2"/>
      </rPr>
      <t xml:space="preserve">月振り返り｜コーデ</t>
    </r>
    <r>
      <rPr>
        <b val="true"/>
        <sz val="16"/>
        <color rgb="FF2C5F2D"/>
        <rFont val="Meiryo"/>
        <family val="0"/>
        <charset val="1"/>
      </rPr>
      <t xml:space="preserve">+TREEBATON </t>
    </r>
    <r>
      <rPr>
        <b val="true"/>
        <sz val="16"/>
        <color rgb="FF2C5F2D"/>
        <rFont val="WenQuanYi Zen Hei"/>
        <family val="2"/>
      </rPr>
      <t xml:space="preserve">＋ 建築</t>
    </r>
  </si>
  <si>
    <r>
      <rPr>
        <sz val="9"/>
        <color rgb="FF767676"/>
        <rFont val="Meiryo"/>
        <family val="0"/>
        <charset val="1"/>
      </rPr>
      <t xml:space="preserve">2026/09/01 → 09/28 </t>
    </r>
    <r>
      <rPr>
        <sz val="9"/>
        <color rgb="FF767676"/>
        <rFont val="WenQuanYi Zen Hei"/>
        <family val="2"/>
      </rPr>
      <t xml:space="preserve">の</t>
    </r>
    <r>
      <rPr>
        <sz val="9"/>
        <color rgb="FF767676"/>
        <rFont val="Meiryo"/>
        <family val="0"/>
        <charset val="1"/>
      </rPr>
      <t xml:space="preserve">SF</t>
    </r>
    <r>
      <rPr>
        <sz val="9"/>
        <color rgb="FF767676"/>
        <rFont val="WenQuanYi Zen Hei"/>
        <family val="2"/>
      </rPr>
      <t xml:space="preserve">商談変更履歴</t>
    </r>
    <r>
      <rPr>
        <sz val="9"/>
        <color rgb="FF767676"/>
        <rFont val="Meiryo"/>
        <family val="0"/>
        <charset val="1"/>
      </rPr>
      <t xml:space="preserve">405</t>
    </r>
    <r>
      <rPr>
        <sz val="9"/>
        <color rgb="FF767676"/>
        <rFont val="WenQuanYi Zen Hei"/>
        <family val="2"/>
      </rPr>
      <t xml:space="preserve">件を再生して復元　／　単位：千円　／　</t>
    </r>
    <r>
      <rPr>
        <sz val="9"/>
        <color rgb="FF767676"/>
        <rFont val="Meiryo"/>
        <family val="0"/>
        <charset val="1"/>
      </rPr>
      <t xml:space="preserve">OEM</t>
    </r>
    <r>
      <rPr>
        <sz val="9"/>
        <color rgb="FF767676"/>
        <rFont val="WenQuanYi Zen Hei"/>
        <family val="2"/>
      </rPr>
      <t xml:space="preserve">・その他（森林認証コンサル・受託事業）は対象外</t>
    </r>
  </si>
  <si>
    <r>
      <rPr>
        <b val="true"/>
        <sz val="12"/>
        <color rgb="FF2C5F2D"/>
        <rFont val="WenQuanYi Zen Hei"/>
        <family val="2"/>
      </rPr>
      <t xml:space="preserve">①　</t>
    </r>
    <r>
      <rPr>
        <b val="true"/>
        <sz val="12"/>
        <color rgb="FF2C5F2D"/>
        <rFont val="Meiryo"/>
        <family val="0"/>
        <charset val="1"/>
      </rPr>
      <t xml:space="preserve">9</t>
    </r>
    <r>
      <rPr>
        <b val="true"/>
        <sz val="12"/>
        <color rgb="FF2C5F2D"/>
        <rFont val="WenQuanYi Zen Hei"/>
        <family val="2"/>
      </rPr>
      <t xml:space="preserve">月の</t>
    </r>
    <r>
      <rPr>
        <b val="true"/>
        <sz val="12"/>
        <color rgb="FF2C5F2D"/>
        <rFont val="Meiryo"/>
        <family val="0"/>
        <charset val="1"/>
      </rPr>
      <t xml:space="preserve">AB</t>
    </r>
    <r>
      <rPr>
        <b val="true"/>
        <sz val="12"/>
        <color rgb="FF2C5F2D"/>
        <rFont val="WenQuanYi Zen Hei"/>
        <family val="2"/>
      </rPr>
      <t xml:space="preserve">総玉 増減</t>
    </r>
  </si>
  <si>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総玉＝確度</t>
    </r>
    <r>
      <rPr>
        <sz val="9"/>
        <color rgb="FF767676"/>
        <rFont val="Meiryo"/>
        <family val="0"/>
        <charset val="1"/>
      </rPr>
      <t xml:space="preserve">A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B </t>
    </r>
    <r>
      <rPr>
        <sz val="9"/>
        <color rgb="FF767676"/>
        <rFont val="WenQuanYi Zen Hei"/>
        <family val="2"/>
      </rPr>
      <t xml:space="preserve">かつ フェーズ≠</t>
    </r>
    <r>
      <rPr>
        <sz val="9"/>
        <color rgb="FF767676"/>
        <rFont val="Meiryo"/>
        <family val="0"/>
        <charset val="1"/>
      </rPr>
      <t xml:space="preserve">00_</t>
    </r>
    <r>
      <rPr>
        <sz val="9"/>
        <color rgb="FF767676"/>
        <rFont val="WenQuanYi Zen Hei"/>
        <family val="2"/>
      </rPr>
      <t xml:space="preserve">失注 かつ 完了予定日が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年度内の金額。</t>
    </r>
  </si>
  <si>
    <t xml:space="preserve">合計</t>
  </si>
  <si>
    <r>
      <rPr>
        <b val="true"/>
        <sz val="9.5"/>
        <color rgb="FF767676"/>
        <rFont val="WenQuanYi Zen Hei"/>
        <family val="2"/>
      </rPr>
      <t xml:space="preserve">コーデ</t>
    </r>
    <r>
      <rPr>
        <b val="true"/>
        <sz val="9.5"/>
        <color rgb="FF767676"/>
        <rFont val="Meiryo"/>
        <family val="0"/>
        <charset val="1"/>
      </rPr>
      <t xml:space="preserve">+TREEBATON</t>
    </r>
  </si>
  <si>
    <t xml:space="preserve">建築</t>
  </si>
  <si>
    <t xml:space="preserve">動いた案件数</t>
  </si>
  <si>
    <r>
      <rPr>
        <sz val="8.5"/>
        <color rgb="FF767676"/>
        <rFont val="WenQuanYi Zen Hei"/>
        <family val="2"/>
      </rPr>
      <t xml:space="preserve">コーデ</t>
    </r>
    <r>
      <rPr>
        <sz val="8.5"/>
        <color rgb="FF767676"/>
        <rFont val="Meiryo"/>
        <family val="0"/>
        <charset val="1"/>
      </rPr>
      <t xml:space="preserve">+TREEBATON </t>
    </r>
    <r>
      <rPr>
        <sz val="8.5"/>
        <color rgb="FF767676"/>
        <rFont val="WenQuanYi Zen Hei"/>
        <family val="2"/>
      </rPr>
      <t xml:space="preserve">＋ 建築</t>
    </r>
  </si>
  <si>
    <t xml:space="preserve">増加のほぼ全部がここ</t>
  </si>
  <si>
    <r>
      <rPr>
        <sz val="8.5"/>
        <color rgb="FF767676"/>
        <rFont val="WenQuanYi Zen Hei"/>
        <family val="2"/>
      </rPr>
      <t xml:space="preserve">枠材製作モックアップの新規</t>
    </r>
    <r>
      <rPr>
        <sz val="8.5"/>
        <color rgb="FF767676"/>
        <rFont val="Meiryo"/>
        <family val="0"/>
        <charset val="1"/>
      </rPr>
      <t xml:space="preserve">1</t>
    </r>
    <r>
      <rPr>
        <sz val="8.5"/>
        <color rgb="FF767676"/>
        <rFont val="WenQuanYi Zen Hei"/>
        <family val="2"/>
      </rPr>
      <t xml:space="preserve">件のみ</t>
    </r>
  </si>
  <si>
    <t xml:space="preserve">件。明細は「増減明細」シート</t>
  </si>
  <si>
    <r>
      <rPr>
        <b val="true"/>
        <sz val="12"/>
        <color rgb="FF2C5F2D"/>
        <rFont val="WenQuanYi Zen Hei"/>
        <family val="2"/>
      </rPr>
      <t xml:space="preserve">②　</t>
    </r>
    <r>
      <rPr>
        <b val="true"/>
        <sz val="12"/>
        <color rgb="FF2C5F2D"/>
        <rFont val="Meiryo"/>
        <family val="0"/>
        <charset val="1"/>
      </rPr>
      <t xml:space="preserve">AB</t>
    </r>
    <r>
      <rPr>
        <b val="true"/>
        <sz val="12"/>
        <color rgb="FF2C5F2D"/>
        <rFont val="WenQuanYi Zen Hei"/>
        <family val="2"/>
      </rPr>
      <t xml:space="preserve">総玉が動いた理由</t>
    </r>
  </si>
  <si>
    <t xml:space="preserve">どのカテゴリでいくら動いたか。件数は『増減明細』シートのカテゴリ列を集計しています。</t>
  </si>
  <si>
    <r>
      <rPr>
        <b val="true"/>
        <sz val="9.5"/>
        <color rgb="FF767676"/>
        <rFont val="WenQuanYi Zen Hei"/>
        <family val="2"/>
      </rPr>
      <t xml:space="preserve">確度</t>
    </r>
    <r>
      <rPr>
        <b val="true"/>
        <sz val="9.5"/>
        <color rgb="FF767676"/>
        <rFont val="Meiryo"/>
        <family val="0"/>
        <charset val="1"/>
      </rPr>
      <t xml:space="preserve">UP</t>
    </r>
  </si>
  <si>
    <t xml:space="preserve">新規作成</t>
  </si>
  <si>
    <t xml:space="preserve">失注から復活</t>
  </si>
  <si>
    <t xml:space="preserve">増額 ＋ 減額</t>
  </si>
  <si>
    <r>
      <rPr>
        <sz val="8.5"/>
        <color rgb="FF767676"/>
        <rFont val="WenQuanYi Zen Hei"/>
        <family val="2"/>
      </rPr>
      <t xml:space="preserve">習志野カントリークラブ</t>
    </r>
    <r>
      <rPr>
        <sz val="8.5"/>
        <color rgb="FF767676"/>
        <rFont val="Meiryo"/>
        <family val="0"/>
        <charset val="1"/>
      </rPr>
      <t xml:space="preserve">_VIP</t>
    </r>
    <r>
      <rPr>
        <sz val="8.5"/>
        <color rgb="FF767676"/>
        <rFont val="WenQuanYi Zen Hei"/>
        <family val="2"/>
      </rPr>
      <t xml:space="preserve">ルーム黒柿</t>
    </r>
  </si>
  <si>
    <r>
      <rPr>
        <sz val="8.5"/>
        <color rgb="FF767676"/>
        <rFont val="WenQuanYi Zen Hei"/>
        <family val="2"/>
      </rPr>
      <t xml:space="preserve">新潟県石山</t>
    </r>
    <r>
      <rPr>
        <sz val="8.5"/>
        <color rgb="FF767676"/>
        <rFont val="Meiryo"/>
        <family val="0"/>
        <charset val="1"/>
      </rPr>
      <t xml:space="preserve">PJ </t>
    </r>
    <r>
      <rPr>
        <sz val="8.5"/>
        <color rgb="FF767676"/>
        <rFont val="WenQuanYi Zen Hei"/>
        <family val="2"/>
      </rPr>
      <t xml:space="preserve">＋</t>
    </r>
    <r>
      <rPr>
        <sz val="8.5"/>
        <color rgb="FF767676"/>
        <rFont val="Meiryo"/>
        <family val="0"/>
        <charset val="1"/>
      </rPr>
      <t xml:space="preserve">47 </t>
    </r>
    <r>
      <rPr>
        <sz val="8.5"/>
        <color rgb="FF767676"/>
        <rFont val="WenQuanYi Zen Hei"/>
        <family val="2"/>
      </rPr>
      <t xml:space="preserve">／ 千本松牧場⑤ ▲</t>
    </r>
    <r>
      <rPr>
        <sz val="8.5"/>
        <color rgb="FF767676"/>
        <rFont val="Meiryo"/>
        <family val="0"/>
        <charset val="1"/>
      </rPr>
      <t xml:space="preserve">50</t>
    </r>
  </si>
  <si>
    <r>
      <rPr>
        <b val="true"/>
        <sz val="10"/>
        <color rgb="FFC87941"/>
        <rFont val="WenQuanYi Zen Hei"/>
        <family val="2"/>
      </rPr>
      <t xml:space="preserve">増加の約</t>
    </r>
    <r>
      <rPr>
        <b val="true"/>
        <sz val="10"/>
        <color rgb="FFC87941"/>
        <rFont val="Meiryo"/>
        <family val="0"/>
        <charset val="1"/>
      </rPr>
      <t xml:space="preserve">8</t>
    </r>
    <r>
      <rPr>
        <b val="true"/>
        <sz val="10"/>
        <color rgb="FFC87941"/>
        <rFont val="WenQuanYi Zen Hei"/>
        <family val="2"/>
      </rPr>
      <t xml:space="preserve">割が「確度</t>
    </r>
    <r>
      <rPr>
        <b val="true"/>
        <sz val="10"/>
        <color rgb="FFC87941"/>
        <rFont val="Meiryo"/>
        <family val="0"/>
        <charset val="1"/>
      </rPr>
      <t xml:space="preserve">UP</t>
    </r>
    <r>
      <rPr>
        <b val="true"/>
        <sz val="10"/>
        <color rgb="FFC87941"/>
        <rFont val="WenQuanYi Zen Hei"/>
        <family val="2"/>
      </rPr>
      <t xml:space="preserve">」。新規に作った玉が積み上がった月ではありません。</t>
    </r>
  </si>
  <si>
    <r>
      <rPr>
        <b val="true"/>
        <sz val="12"/>
        <color rgb="FF2C5F2D"/>
        <rFont val="WenQuanYi Zen Hei"/>
        <family val="2"/>
      </rPr>
      <t xml:space="preserve">③　</t>
    </r>
    <r>
      <rPr>
        <b val="true"/>
        <sz val="12"/>
        <color rgb="FF2C5F2D"/>
        <rFont val="Meiryo"/>
        <family val="0"/>
        <charset val="1"/>
      </rPr>
      <t xml:space="preserve">9</t>
    </r>
    <r>
      <rPr>
        <b val="true"/>
        <sz val="12"/>
        <color rgb="FF2C5F2D"/>
        <rFont val="WenQuanYi Zen Hei"/>
        <family val="2"/>
      </rPr>
      <t xml:space="preserve">月の動き（</t>
    </r>
    <r>
      <rPr>
        <b val="true"/>
        <sz val="12"/>
        <color rgb="FF2C5F2D"/>
        <rFont val="Meiryo"/>
        <family val="0"/>
        <charset val="1"/>
      </rPr>
      <t xml:space="preserve">AB</t>
    </r>
    <r>
      <rPr>
        <b val="true"/>
        <sz val="12"/>
        <color rgb="FF2C5F2D"/>
        <rFont val="WenQuanYi Zen Hei"/>
        <family val="2"/>
      </rPr>
      <t xml:space="preserve">総玉以外）</t>
    </r>
  </si>
  <si>
    <t xml:space="preserve">成約・新規作成・失注。明細は各シートにあります。</t>
  </si>
  <si>
    <t xml:space="preserve">成約</t>
  </si>
  <si>
    <t xml:space="preserve">失注</t>
  </si>
  <si>
    <t xml:space="preserve">新規のうち金額未入力</t>
  </si>
  <si>
    <t xml:space="preserve">④　どこに寄っているか</t>
  </si>
  <si>
    <t xml:space="preserve">増加も成約も、少数の案件に集中しています。</t>
  </si>
  <si>
    <r>
      <rPr>
        <b val="true"/>
        <sz val="9.5"/>
        <color rgb="FF767676"/>
        <rFont val="WenQuanYi Zen Hei"/>
        <family val="2"/>
      </rPr>
      <t xml:space="preserve">認証桧柾目材供給</t>
    </r>
    <r>
      <rPr>
        <b val="true"/>
        <sz val="9.5"/>
        <color rgb="FF767676"/>
        <rFont val="Meiryo"/>
        <family val="0"/>
        <charset val="1"/>
      </rPr>
      <t xml:space="preserve">PJ</t>
    </r>
  </si>
  <si>
    <r>
      <rPr>
        <b val="true"/>
        <sz val="9.5"/>
        <color rgb="FF767676"/>
        <rFont val="WenQuanYi Zen Hei"/>
        <family val="2"/>
      </rPr>
      <t xml:space="preserve">確度</t>
    </r>
    <r>
      <rPr>
        <b val="true"/>
        <sz val="9.5"/>
        <color rgb="FF767676"/>
        <rFont val="Meiryo"/>
        <family val="0"/>
        <charset val="1"/>
      </rPr>
      <t xml:space="preserve">UP</t>
    </r>
    <r>
      <rPr>
        <b val="true"/>
        <sz val="9.5"/>
        <color rgb="FF767676"/>
        <rFont val="WenQuanYi Zen Hei"/>
        <family val="2"/>
      </rPr>
      <t xml:space="preserve">に占める割合</t>
    </r>
  </si>
  <si>
    <r>
      <rPr>
        <b val="true"/>
        <sz val="9.5"/>
        <color rgb="FF767676"/>
        <rFont val="WenQuanYi Zen Hei"/>
        <family val="2"/>
      </rPr>
      <t xml:space="preserve">千本松牧場</t>
    </r>
    <r>
      <rPr>
        <b val="true"/>
        <sz val="9.5"/>
        <color rgb="FF767676"/>
        <rFont val="Meiryo"/>
        <family val="0"/>
        <charset val="1"/>
      </rPr>
      <t xml:space="preserve">PJ</t>
    </r>
  </si>
  <si>
    <t xml:space="preserve">成約に占める割合</t>
  </si>
  <si>
    <r>
      <rPr>
        <sz val="8.5"/>
        <color rgb="FF767676"/>
        <rFont val="Meiryo"/>
        <family val="0"/>
        <charset val="1"/>
      </rPr>
      <t xml:space="preserve">2</t>
    </r>
    <r>
      <rPr>
        <sz val="8.5"/>
        <color rgb="FF767676"/>
        <rFont val="WenQuanYi Zen Hei"/>
        <family val="2"/>
      </rPr>
      <t xml:space="preserve">回目＋</t>
    </r>
    <r>
      <rPr>
        <sz val="8.5"/>
        <color rgb="FF767676"/>
        <rFont val="Meiryo"/>
        <family val="0"/>
        <charset val="1"/>
      </rPr>
      <t xml:space="preserve">3</t>
    </r>
    <r>
      <rPr>
        <sz val="8.5"/>
        <color rgb="FF767676"/>
        <rFont val="WenQuanYi Zen Hei"/>
        <family val="2"/>
      </rPr>
      <t xml:space="preserve">回目の確度</t>
    </r>
    <r>
      <rPr>
        <sz val="8.5"/>
        <color rgb="FF767676"/>
        <rFont val="Meiryo"/>
        <family val="0"/>
        <charset val="1"/>
      </rPr>
      <t xml:space="preserve">UP</t>
    </r>
    <r>
      <rPr>
        <sz val="8.5"/>
        <color rgb="FF767676"/>
        <rFont val="WenQuanYi Zen Hei"/>
        <family val="2"/>
      </rPr>
      <t xml:space="preserve">分</t>
    </r>
  </si>
  <si>
    <r>
      <rPr>
        <sz val="8.5"/>
        <color rgb="FF767676"/>
        <rFont val="WenQuanYi Zen Hei"/>
        <family val="2"/>
      </rPr>
      <t xml:space="preserve">この</t>
    </r>
    <r>
      <rPr>
        <sz val="8.5"/>
        <color rgb="FF767676"/>
        <rFont val="Meiryo"/>
        <family val="0"/>
        <charset val="1"/>
      </rPr>
      <t xml:space="preserve">2</t>
    </r>
    <r>
      <rPr>
        <sz val="8.5"/>
        <color rgb="FF767676"/>
        <rFont val="WenQuanYi Zen Hei"/>
        <family val="2"/>
      </rPr>
      <t xml:space="preserve">件がなければ増加はごくわずか</t>
    </r>
  </si>
  <si>
    <r>
      <rPr>
        <sz val="8.5"/>
        <color rgb="FF767676"/>
        <rFont val="WenQuanYi Zen Hei"/>
        <family val="2"/>
      </rPr>
      <t xml:space="preserve">成約</t>
    </r>
    <r>
      <rPr>
        <sz val="8.5"/>
        <color rgb="FF767676"/>
        <rFont val="Meiryo"/>
        <family val="0"/>
        <charset val="1"/>
      </rPr>
      <t xml:space="preserve">3</t>
    </r>
    <r>
      <rPr>
        <sz val="8.5"/>
        <color rgb="FF767676"/>
        <rFont val="WenQuanYi Zen Hei"/>
        <family val="2"/>
      </rPr>
      <t xml:space="preserve">件の合計</t>
    </r>
  </si>
  <si>
    <r>
      <rPr>
        <sz val="8.5"/>
        <color rgb="FF767676"/>
        <rFont val="Meiryo"/>
        <family val="0"/>
        <charset val="1"/>
      </rPr>
      <t xml:space="preserve">1</t>
    </r>
    <r>
      <rPr>
        <sz val="8.5"/>
        <color rgb="FF767676"/>
        <rFont val="WenQuanYi Zen Hei"/>
        <family val="2"/>
      </rPr>
      <t xml:space="preserve">プロジェクトへの依存</t>
    </r>
  </si>
  <si>
    <r>
      <rPr>
        <b val="true"/>
        <sz val="10"/>
        <color rgb="FFB04A3C"/>
        <rFont val="WenQuanYi Zen Hei"/>
        <family val="2"/>
      </rPr>
      <t xml:space="preserve">確度</t>
    </r>
    <r>
      <rPr>
        <b val="true"/>
        <sz val="10"/>
        <color rgb="FFB04A3C"/>
        <rFont val="Meiryo"/>
        <family val="0"/>
        <charset val="1"/>
      </rPr>
      <t xml:space="preserve">UP</t>
    </r>
    <r>
      <rPr>
        <b val="true"/>
        <sz val="10"/>
        <color rgb="FFB04A3C"/>
        <rFont val="WenQuanYi Zen Hei"/>
        <family val="2"/>
      </rPr>
      <t xml:space="preserve">の</t>
    </r>
    <r>
      <rPr>
        <b val="true"/>
        <sz val="10"/>
        <color rgb="FFB04A3C"/>
        <rFont val="Meiryo"/>
        <family val="0"/>
        <charset val="1"/>
      </rPr>
      <t xml:space="preserve">9</t>
    </r>
    <r>
      <rPr>
        <b val="true"/>
        <sz val="10"/>
        <color rgb="FFB04A3C"/>
        <rFont val="WenQuanYi Zen Hei"/>
        <family val="2"/>
      </rPr>
      <t xml:space="preserve">割が認証桧柾目材供給</t>
    </r>
    <r>
      <rPr>
        <b val="true"/>
        <sz val="10"/>
        <color rgb="FFB04A3C"/>
        <rFont val="Meiryo"/>
        <family val="0"/>
        <charset val="1"/>
      </rPr>
      <t xml:space="preserve">PJ</t>
    </r>
    <r>
      <rPr>
        <b val="true"/>
        <sz val="10"/>
        <color rgb="FFB04A3C"/>
        <rFont val="WenQuanYi Zen Hei"/>
        <family val="2"/>
      </rPr>
      <t xml:space="preserve">の</t>
    </r>
    <r>
      <rPr>
        <b val="true"/>
        <sz val="10"/>
        <color rgb="FFB04A3C"/>
        <rFont val="Meiryo"/>
        <family val="0"/>
        <charset val="1"/>
      </rPr>
      <t xml:space="preserve">2</t>
    </r>
    <r>
      <rPr>
        <b val="true"/>
        <sz val="10"/>
        <color rgb="FFB04A3C"/>
        <rFont val="WenQuanYi Zen Hei"/>
        <family val="2"/>
      </rPr>
      <t xml:space="preserve">件、成約の</t>
    </r>
    <r>
      <rPr>
        <b val="true"/>
        <sz val="10"/>
        <color rgb="FFB04A3C"/>
        <rFont val="Meiryo"/>
        <family val="0"/>
        <charset val="1"/>
      </rPr>
      <t xml:space="preserve">4</t>
    </r>
    <r>
      <rPr>
        <b val="true"/>
        <sz val="10"/>
        <color rgb="FFB04A3C"/>
        <rFont val="WenQuanYi Zen Hei"/>
        <family val="2"/>
      </rPr>
      <t xml:space="preserve">割強が千本松牧場</t>
    </r>
    <r>
      <rPr>
        <b val="true"/>
        <sz val="10"/>
        <color rgb="FFB04A3C"/>
        <rFont val="Meiryo"/>
        <family val="0"/>
        <charset val="1"/>
      </rPr>
      <t xml:space="preserve">PJ</t>
    </r>
    <r>
      <rPr>
        <b val="true"/>
        <sz val="10"/>
        <color rgb="FFB04A3C"/>
        <rFont val="WenQuanYi Zen Hei"/>
        <family val="2"/>
      </rPr>
      <t xml:space="preserve">。どちらも終われば来月の数字は一気に下がります。</t>
    </r>
  </si>
  <si>
    <r>
      <rPr>
        <b val="true"/>
        <sz val="10"/>
        <color rgb="FFB04A3C"/>
        <rFont val="WenQuanYi Zen Hei"/>
        <family val="2"/>
      </rPr>
      <t xml:space="preserve">新規作成</t>
    </r>
    <r>
      <rPr>
        <b val="true"/>
        <sz val="10"/>
        <color rgb="FFB04A3C"/>
        <rFont val="Meiryo"/>
        <family val="0"/>
        <charset val="1"/>
      </rPr>
      <t xml:space="preserve">38</t>
    </r>
    <r>
      <rPr>
        <b val="true"/>
        <sz val="10"/>
        <color rgb="FFB04A3C"/>
        <rFont val="WenQuanYi Zen Hei"/>
        <family val="2"/>
      </rPr>
      <t xml:space="preserve">件のうち</t>
    </r>
    <r>
      <rPr>
        <b val="true"/>
        <sz val="10"/>
        <color rgb="FFB04A3C"/>
        <rFont val="Meiryo"/>
        <family val="0"/>
        <charset val="1"/>
      </rPr>
      <t xml:space="preserve">18</t>
    </r>
    <r>
      <rPr>
        <b val="true"/>
        <sz val="10"/>
        <color rgb="FFB04A3C"/>
        <rFont val="WenQuanYi Zen Hei"/>
        <family val="2"/>
      </rPr>
      <t xml:space="preserve">件（</t>
    </r>
    <r>
      <rPr>
        <b val="true"/>
        <sz val="10"/>
        <color rgb="FFB04A3C"/>
        <rFont val="Meiryo"/>
        <family val="0"/>
        <charset val="1"/>
      </rPr>
      <t xml:space="preserve">47%</t>
    </r>
    <r>
      <rPr>
        <b val="true"/>
        <sz val="10"/>
        <color rgb="FFB04A3C"/>
        <rFont val="WenQuanYi Zen Hei"/>
        <family val="2"/>
      </rPr>
      <t xml:space="preserve">）が金額未入力。件数は出ているが、見込みには乗っていません。</t>
    </r>
  </si>
  <si>
    <t xml:space="preserve">⑤　来月に向けて</t>
  </si>
  <si>
    <t xml:space="preserve">この振り返りから出てくる打ち手です。</t>
  </si>
  <si>
    <t xml:space="preserve">①</t>
  </si>
  <si>
    <t xml:space="preserve">②</t>
  </si>
  <si>
    <t xml:space="preserve">③</t>
  </si>
  <si>
    <t xml:space="preserve">④</t>
  </si>
  <si>
    <r>
      <rPr>
        <b val="true"/>
        <sz val="10.5"/>
        <color rgb="FF2C5F2D"/>
        <rFont val="WenQuanYi Zen Hei"/>
        <family val="2"/>
      </rPr>
      <t xml:space="preserve">新規</t>
    </r>
    <r>
      <rPr>
        <b val="true"/>
        <sz val="10.5"/>
        <color rgb="FF2C5F2D"/>
        <rFont val="Meiryo"/>
        <family val="0"/>
        <charset val="1"/>
      </rPr>
      <t xml:space="preserve">38</t>
    </r>
    <r>
      <rPr>
        <b val="true"/>
        <sz val="10.5"/>
        <color rgb="FF2C5F2D"/>
        <rFont val="WenQuanYi Zen Hei"/>
        <family val="2"/>
      </rPr>
      <t xml:space="preserve">件のうち金額未入力</t>
    </r>
    <r>
      <rPr>
        <b val="true"/>
        <sz val="10.5"/>
        <color rgb="FF2C5F2D"/>
        <rFont val="Meiryo"/>
        <family val="0"/>
        <charset val="1"/>
      </rPr>
      <t xml:space="preserve">18</t>
    </r>
    <r>
      <rPr>
        <b val="true"/>
        <sz val="10.5"/>
        <color rgb="FF2C5F2D"/>
        <rFont val="WenQuanYi Zen Hei"/>
        <family val="2"/>
      </rPr>
      <t xml:space="preserve">件を埋める</t>
    </r>
  </si>
  <si>
    <t xml:space="preserve">認証桧柾目材・千本松牧場に続く案件を特定する</t>
  </si>
  <si>
    <r>
      <rPr>
        <b val="true"/>
        <sz val="10.5"/>
        <color rgb="FF2C5F2D"/>
        <rFont val="WenQuanYi Zen Hei"/>
        <family val="2"/>
      </rPr>
      <t xml:space="preserve">確度</t>
    </r>
    <r>
      <rPr>
        <b val="true"/>
        <sz val="10.5"/>
        <color rgb="FF2C5F2D"/>
        <rFont val="Meiryo"/>
        <family val="0"/>
        <charset val="1"/>
      </rPr>
      <t xml:space="preserve">UP</t>
    </r>
    <r>
      <rPr>
        <b val="true"/>
        <sz val="10.5"/>
        <color rgb="FF2C5F2D"/>
        <rFont val="WenQuanYi Zen Hei"/>
        <family val="2"/>
      </rPr>
      <t xml:space="preserve">できる</t>
    </r>
    <r>
      <rPr>
        <b val="true"/>
        <sz val="10.5"/>
        <color rgb="FF2C5F2D"/>
        <rFont val="Meiryo"/>
        <family val="0"/>
        <charset val="1"/>
      </rPr>
      <t xml:space="preserve">CD</t>
    </r>
    <r>
      <rPr>
        <b val="true"/>
        <sz val="10.5"/>
        <color rgb="FF2C5F2D"/>
        <rFont val="WenQuanYi Zen Hei"/>
        <family val="2"/>
      </rPr>
      <t xml:space="preserve">玉を事前に洗い出す</t>
    </r>
  </si>
  <si>
    <r>
      <rPr>
        <b val="true"/>
        <sz val="10.5"/>
        <color rgb="FF2C5F2D"/>
        <rFont val="WenQuanYi Zen Hei"/>
        <family val="2"/>
      </rPr>
      <t xml:space="preserve">建築の玉が</t>
    </r>
    <r>
      <rPr>
        <b val="true"/>
        <sz val="10.5"/>
        <color rgb="FF2C5F2D"/>
        <rFont val="Meiryo"/>
        <family val="0"/>
        <charset val="1"/>
      </rPr>
      <t xml:space="preserve">1</t>
    </r>
    <r>
      <rPr>
        <b val="true"/>
        <sz val="10.5"/>
        <color rgb="FF2C5F2D"/>
        <rFont val="WenQuanYi Zen Hei"/>
        <family val="2"/>
      </rPr>
      <t xml:space="preserve">件のみ。増やす手を打つ</t>
    </r>
  </si>
  <si>
    <r>
      <rPr>
        <b val="true"/>
        <sz val="13"/>
        <color rgb="FF2C5F2D"/>
        <rFont val="Meiryo"/>
        <family val="0"/>
        <charset val="1"/>
      </rPr>
      <t xml:space="preserve">AB</t>
    </r>
    <r>
      <rPr>
        <b val="true"/>
        <sz val="13"/>
        <color rgb="FF2C5F2D"/>
        <rFont val="WenQuanYi Zen Hei"/>
        <family val="2"/>
      </rPr>
      <t xml:space="preserve">総玉が動いた案件（</t>
    </r>
    <r>
      <rPr>
        <b val="true"/>
        <sz val="13"/>
        <color rgb="FF2C5F2D"/>
        <rFont val="Meiryo"/>
        <family val="0"/>
        <charset val="1"/>
      </rPr>
      <t xml:space="preserve">9/1 → 9/28</t>
    </r>
    <r>
      <rPr>
        <b val="true"/>
        <sz val="13"/>
        <color rgb="FF2C5F2D"/>
        <rFont val="WenQuanYi Zen Hei"/>
        <family val="2"/>
      </rPr>
      <t xml:space="preserve">）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</si>
  <si>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総玉＝確度</t>
    </r>
    <r>
      <rPr>
        <sz val="9"/>
        <color rgb="FF767676"/>
        <rFont val="Meiryo"/>
        <family val="0"/>
        <charset val="1"/>
      </rPr>
      <t xml:space="preserve">A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B </t>
    </r>
    <r>
      <rPr>
        <sz val="9"/>
        <color rgb="FF767676"/>
        <rFont val="WenQuanYi Zen Hei"/>
        <family val="2"/>
      </rPr>
      <t xml:space="preserve">かつ フェーズ≠</t>
    </r>
    <r>
      <rPr>
        <sz val="9"/>
        <color rgb="FF767676"/>
        <rFont val="Meiryo"/>
        <family val="0"/>
        <charset val="1"/>
      </rPr>
      <t xml:space="preserve">00_</t>
    </r>
    <r>
      <rPr>
        <sz val="9"/>
        <color rgb="FF767676"/>
        <rFont val="WenQuanYi Zen Hei"/>
        <family val="2"/>
      </rPr>
      <t xml:space="preserve">失注 かつ 完了予定日が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年度内の金額。</t>
    </r>
  </si>
  <si>
    <t xml:space="preserve">グループ</t>
  </si>
  <si>
    <t xml:space="preserve">商談名</t>
  </si>
  <si>
    <r>
      <rPr>
        <b val="true"/>
        <sz val="10"/>
        <color rgb="FFFFFFFF"/>
        <rFont val="Meiryo"/>
        <family val="0"/>
        <charset val="1"/>
      </rPr>
      <t xml:space="preserve">AB</t>
    </r>
    <r>
      <rPr>
        <b val="true"/>
        <sz val="10"/>
        <color rgb="FFFFFFFF"/>
        <rFont val="WenQuanYi Zen Hei"/>
        <family val="2"/>
      </rPr>
      <t xml:space="preserve">総玉 増減</t>
    </r>
  </si>
  <si>
    <t xml:space="preserve">カテゴリ</t>
  </si>
  <si>
    <t xml:space="preserve">理由（詳細）</t>
  </si>
  <si>
    <r>
      <rPr>
        <b val="true"/>
        <sz val="10"/>
        <color rgb="FFFFFFFF"/>
        <rFont val="Meiryo"/>
        <family val="0"/>
        <charset val="1"/>
      </rPr>
      <t xml:space="preserve">9/1 </t>
    </r>
    <r>
      <rPr>
        <b val="true"/>
        <sz val="10"/>
        <color rgb="FFFFFFFF"/>
        <rFont val="WenQuanYi Zen Hei"/>
        <family val="2"/>
      </rPr>
      <t xml:space="preserve">確度</t>
    </r>
  </si>
  <si>
    <r>
      <rPr>
        <b val="true"/>
        <sz val="10"/>
        <color rgb="FFFFFFFF"/>
        <rFont val="Meiryo"/>
        <family val="0"/>
        <charset val="1"/>
      </rPr>
      <t xml:space="preserve">9/28 </t>
    </r>
    <r>
      <rPr>
        <b val="true"/>
        <sz val="10"/>
        <color rgb="FFFFFFFF"/>
        <rFont val="WenQuanYi Zen Hei"/>
        <family val="2"/>
      </rPr>
      <t xml:space="preserve">確度</t>
    </r>
  </si>
  <si>
    <r>
      <rPr>
        <b val="true"/>
        <sz val="10"/>
        <color rgb="FFFFFFFF"/>
        <rFont val="Meiryo"/>
        <family val="0"/>
        <charset val="1"/>
      </rPr>
      <t xml:space="preserve">9/1 </t>
    </r>
    <r>
      <rPr>
        <b val="true"/>
        <sz val="10"/>
        <color rgb="FFFFFFFF"/>
        <rFont val="WenQuanYi Zen Hei"/>
        <family val="2"/>
      </rPr>
      <t xml:space="preserve">金額</t>
    </r>
  </si>
  <si>
    <r>
      <rPr>
        <b val="true"/>
        <sz val="10"/>
        <color rgb="FFFFFFFF"/>
        <rFont val="Meiryo"/>
        <family val="0"/>
        <charset val="1"/>
      </rPr>
      <t xml:space="preserve">9/28 </t>
    </r>
    <r>
      <rPr>
        <b val="true"/>
        <sz val="10"/>
        <color rgb="FFFFFFFF"/>
        <rFont val="WenQuanYi Zen Hei"/>
        <family val="2"/>
      </rPr>
      <t xml:space="preserve">金額</t>
    </r>
  </si>
  <si>
    <t xml:space="preserve">完了予定</t>
  </si>
  <si>
    <r>
      <rPr>
        <sz val="10"/>
        <rFont val="WenQuanYi Zen Hei"/>
        <family val="2"/>
      </rPr>
      <t xml:space="preserve">コーデ</t>
    </r>
    <r>
      <rPr>
        <sz val="10"/>
        <rFont val="Meiryo"/>
        <family val="0"/>
        <charset val="1"/>
      </rPr>
      <t xml:space="preserve">+TREEBATON</t>
    </r>
  </si>
  <si>
    <r>
      <rPr>
        <sz val="10"/>
        <rFont val="WenQuanYi Zen Hei"/>
        <family val="2"/>
      </rPr>
      <t xml:space="preserve">子商談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認証桧柾目材供給</t>
    </r>
    <r>
      <rPr>
        <sz val="10"/>
        <rFont val="Meiryo"/>
        <family val="0"/>
        <charset val="1"/>
      </rPr>
      <t xml:space="preserve">PJ_3</t>
    </r>
    <r>
      <rPr>
        <sz val="10"/>
        <rFont val="WenQuanYi Zen Hei"/>
        <family val="2"/>
      </rPr>
      <t xml:space="preserve">回目</t>
    </r>
    <r>
      <rPr>
        <sz val="10"/>
        <rFont val="Meiryo"/>
        <family val="0"/>
        <charset val="1"/>
      </rPr>
      <t xml:space="preserve">(FSC</t>
    </r>
    <r>
      <rPr>
        <sz val="10"/>
        <rFont val="WenQuanYi Zen Hei"/>
        <family val="2"/>
      </rPr>
      <t xml:space="preserve">尾鷲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</si>
  <si>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</si>
  <si>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C→B</t>
    </r>
    <r>
      <rPr>
        <sz val="10"/>
        <rFont val="WenQuanYi Zen Hei"/>
        <family val="2"/>
      </rPr>
      <t xml:space="preserve">）／増額</t>
    </r>
  </si>
  <si>
    <t xml:space="preserve">C</t>
  </si>
  <si>
    <t xml:space="preserve">B</t>
  </si>
  <si>
    <t xml:space="preserve">2026/10/31</t>
  </si>
  <si>
    <r>
      <rPr>
        <sz val="10"/>
        <rFont val="WenQuanYi Zen Hei"/>
        <family val="2"/>
      </rPr>
      <t xml:space="preserve">子商談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認証桧柾目材供給</t>
    </r>
    <r>
      <rPr>
        <sz val="10"/>
        <rFont val="Meiryo"/>
        <family val="0"/>
        <charset val="1"/>
      </rPr>
      <t xml:space="preserve">PJ_2</t>
    </r>
    <r>
      <rPr>
        <sz val="10"/>
        <rFont val="WenQuanYi Zen Hei"/>
        <family val="2"/>
      </rPr>
      <t xml:space="preserve">回目</t>
    </r>
    <r>
      <rPr>
        <sz val="10"/>
        <rFont val="Meiryo"/>
        <family val="0"/>
        <charset val="1"/>
      </rPr>
      <t xml:space="preserve">(SGEC</t>
    </r>
    <r>
      <rPr>
        <sz val="10"/>
        <rFont val="WenQuanYi Zen Hei"/>
        <family val="2"/>
      </rPr>
      <t xml:space="preserve">富士市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</si>
  <si>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C→A</t>
    </r>
    <r>
      <rPr>
        <sz val="10"/>
        <rFont val="WenQuanYi Zen Hei"/>
        <family val="2"/>
      </rPr>
      <t xml:space="preserve">）／減額</t>
    </r>
  </si>
  <si>
    <t xml:space="preserve">A</t>
  </si>
  <si>
    <t xml:space="preserve">2026/09/02</t>
  </si>
  <si>
    <r>
      <rPr>
        <sz val="10"/>
        <rFont val="Meiryo"/>
        <family val="0"/>
        <charset val="1"/>
      </rPr>
      <t xml:space="preserve">ERIKOYAMAGUCHI_</t>
    </r>
    <r>
      <rPr>
        <sz val="10"/>
        <rFont val="WenQuanYi Zen Hei"/>
        <family val="2"/>
      </rPr>
      <t xml:space="preserve">名古屋</t>
    </r>
  </si>
  <si>
    <t xml:space="preserve">新規</t>
  </si>
  <si>
    <t xml:space="preserve">（新規）</t>
  </si>
  <si>
    <t xml:space="preserve">2027/03/31</t>
  </si>
  <si>
    <r>
      <rPr>
        <sz val="10"/>
        <rFont val="WenQuanYi Zen Hei"/>
        <family val="2"/>
      </rPr>
      <t xml:space="preserve">御殿場</t>
    </r>
    <r>
      <rPr>
        <sz val="10"/>
        <rFont val="Meiryo"/>
        <family val="0"/>
        <charset val="1"/>
      </rPr>
      <t xml:space="preserve">KEEN</t>
    </r>
    <r>
      <rPr>
        <sz val="10"/>
        <rFont val="WenQuanYi Zen Hei"/>
        <family val="2"/>
      </rPr>
      <t xml:space="preserve">店舗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カウンター用静岡県産半割丸太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</si>
  <si>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C→B</t>
    </r>
    <r>
      <rPr>
        <sz val="10"/>
        <rFont val="WenQuanYi Zen Hei"/>
        <family val="2"/>
      </rPr>
      <t xml:space="preserve">）</t>
    </r>
  </si>
  <si>
    <t xml:space="preserve">2026/10/15</t>
  </si>
  <si>
    <t xml:space="preserve">枠材製作（材工）モックアップ製作</t>
  </si>
  <si>
    <t xml:space="preserve">2026/11/30</t>
  </si>
  <si>
    <r>
      <rPr>
        <sz val="10"/>
        <rFont val="Meiryo"/>
        <family val="0"/>
        <charset val="1"/>
      </rPr>
      <t xml:space="preserve">TRE</t>
    </r>
    <r>
      <rPr>
        <sz val="10"/>
        <rFont val="WenQuanYi Zen Hei"/>
        <family val="2"/>
      </rPr>
      <t xml:space="preserve">ホールディングス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丸太輪切り材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</si>
  <si>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C→A</t>
    </r>
    <r>
      <rPr>
        <sz val="10"/>
        <rFont val="WenQuanYi Zen Hei"/>
        <family val="2"/>
      </rPr>
      <t xml:space="preserve">）／増額</t>
    </r>
  </si>
  <si>
    <t xml:space="preserve">2026/08/08</t>
  </si>
  <si>
    <r>
      <rPr>
        <sz val="10"/>
        <rFont val="WenQuanYi Zen Hei"/>
        <family val="2"/>
      </rPr>
      <t xml:space="preserve">習志野カントリークラブ</t>
    </r>
    <r>
      <rPr>
        <sz val="10"/>
        <rFont val="Meiryo"/>
        <family val="0"/>
        <charset val="1"/>
      </rPr>
      <t xml:space="preserve">_VIP</t>
    </r>
    <r>
      <rPr>
        <sz val="10"/>
        <rFont val="WenQuanYi Zen Hei"/>
        <family val="2"/>
      </rPr>
      <t xml:space="preserve">ルーム黒柿</t>
    </r>
  </si>
  <si>
    <r>
      <rPr>
        <sz val="10"/>
        <rFont val="WenQuanYi Zen Hei"/>
        <family val="2"/>
      </rPr>
      <t xml:space="preserve">失注から復活／確度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D→B</t>
    </r>
    <r>
      <rPr>
        <sz val="10"/>
        <rFont val="WenQuanYi Zen Hei"/>
        <family val="2"/>
      </rPr>
      <t xml:space="preserve">）／減額</t>
    </r>
  </si>
  <si>
    <t xml:space="preserve">D</t>
  </si>
  <si>
    <t xml:space="preserve">2026/10/30</t>
  </si>
  <si>
    <r>
      <rPr>
        <sz val="10"/>
        <rFont val="WenQuanYi Zen Hei"/>
        <family val="2"/>
      </rPr>
      <t xml:space="preserve">水戸京成</t>
    </r>
    <r>
      <rPr>
        <sz val="10"/>
        <rFont val="Meiryo"/>
        <family val="0"/>
        <charset val="1"/>
      </rPr>
      <t xml:space="preserve">RLC</t>
    </r>
  </si>
  <si>
    <t xml:space="preserve">2026/09/28</t>
  </si>
  <si>
    <r>
      <rPr>
        <sz val="10"/>
        <rFont val="WenQuanYi Zen Hei"/>
        <family val="2"/>
      </rPr>
      <t xml:space="preserve">ロイヤル</t>
    </r>
    <r>
      <rPr>
        <sz val="10"/>
        <rFont val="Meiryo"/>
        <family val="0"/>
        <charset val="1"/>
      </rPr>
      <t xml:space="preserve">HD</t>
    </r>
    <r>
      <rPr>
        <sz val="10"/>
        <rFont val="WenQuanYi Zen Hei"/>
        <family val="2"/>
      </rPr>
      <t xml:space="preserve">本社工場直販店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福岡</t>
    </r>
    <r>
      <rPr>
        <sz val="10"/>
        <rFont val="Meiryo"/>
        <family val="0"/>
        <charset val="1"/>
      </rPr>
      <t xml:space="preserve">)_</t>
    </r>
    <r>
      <rPr>
        <sz val="10"/>
        <rFont val="WenQuanYi Zen Hei"/>
        <family val="2"/>
      </rPr>
      <t xml:space="preserve">既存樹活用（引上げ・製材・乾燥）</t>
    </r>
  </si>
  <si>
    <r>
      <rPr>
        <sz val="10"/>
        <rFont val="WenQuanYi Zen Hei"/>
        <family val="2"/>
      </rPr>
      <t xml:space="preserve">内閣府用木札</t>
    </r>
    <r>
      <rPr>
        <sz val="10"/>
        <rFont val="Meiryo"/>
        <family val="0"/>
        <charset val="1"/>
      </rPr>
      <t xml:space="preserve">_2026</t>
    </r>
  </si>
  <si>
    <t xml:space="preserve">外装用焼杉（羽目板）</t>
  </si>
  <si>
    <t xml:space="preserve">2026/10/02</t>
  </si>
  <si>
    <r>
      <rPr>
        <sz val="10"/>
        <rFont val="WenQuanYi Zen Hei"/>
        <family val="2"/>
      </rPr>
      <t xml:space="preserve">クリ巾ハギ材（小）</t>
    </r>
    <r>
      <rPr>
        <sz val="10"/>
        <rFont val="Meiryo"/>
        <family val="0"/>
        <charset val="1"/>
      </rPr>
      <t xml:space="preserve">_260924</t>
    </r>
    <r>
      <rPr>
        <sz val="10"/>
        <rFont val="WenQuanYi Zen Hei"/>
        <family val="2"/>
      </rPr>
      <t xml:space="preserve">分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発注</t>
    </r>
    <r>
      <rPr>
        <sz val="10"/>
        <rFont val="Meiryo"/>
        <family val="0"/>
        <charset val="1"/>
      </rPr>
      <t xml:space="preserve">No.PD-820</t>
    </r>
  </si>
  <si>
    <r>
      <rPr>
        <sz val="10"/>
        <rFont val="WenQuanYi Zen Hei"/>
        <family val="2"/>
      </rPr>
      <t xml:space="preserve">味の素本社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レストランフロア壁面オブジェ（追加作業）</t>
    </r>
  </si>
  <si>
    <t xml:space="preserve">2026/09/30</t>
  </si>
  <si>
    <t xml:space="preserve">ウッドチップ</t>
  </si>
  <si>
    <t xml:space="preserve">2026/09/25</t>
  </si>
  <si>
    <r>
      <rPr>
        <sz val="10"/>
        <rFont val="WenQuanYi Zen Hei"/>
        <family val="2"/>
      </rPr>
      <t xml:space="preserve">太閤向け</t>
    </r>
    <r>
      <rPr>
        <sz val="10"/>
        <rFont val="Meiryo"/>
        <family val="0"/>
        <charset val="1"/>
      </rPr>
      <t xml:space="preserve">FSC</t>
    </r>
    <r>
      <rPr>
        <sz val="10"/>
        <rFont val="WenQuanYi Zen Hei"/>
        <family val="2"/>
      </rPr>
      <t xml:space="preserve">ポプラ</t>
    </r>
    <r>
      <rPr>
        <sz val="10"/>
        <rFont val="Meiryo"/>
        <family val="0"/>
        <charset val="1"/>
      </rPr>
      <t xml:space="preserve">LVL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45x30x4000</t>
    </r>
    <r>
      <rPr>
        <sz val="10"/>
        <rFont val="WenQuanYi Zen Hei"/>
        <family val="2"/>
      </rPr>
      <t xml:space="preserve">）</t>
    </r>
    <r>
      <rPr>
        <sz val="10"/>
        <rFont val="Meiryo"/>
        <family val="0"/>
        <charset val="1"/>
      </rPr>
      <t xml:space="preserve">260917</t>
    </r>
  </si>
  <si>
    <t xml:space="preserve">2026/09/17</t>
  </si>
  <si>
    <r>
      <rPr>
        <sz val="10"/>
        <rFont val="WenQuanYi Zen Hei"/>
        <family val="2"/>
      </rPr>
      <t xml:space="preserve">新潟県新潟市石山</t>
    </r>
    <r>
      <rPr>
        <sz val="10"/>
        <rFont val="Meiryo"/>
        <family val="0"/>
        <charset val="1"/>
      </rPr>
      <t xml:space="preserve">PJ</t>
    </r>
  </si>
  <si>
    <t xml:space="preserve">増額</t>
  </si>
  <si>
    <t xml:space="preserve">2026/12/31</t>
  </si>
  <si>
    <r>
      <rPr>
        <sz val="10"/>
        <rFont val="WenQuanYi Zen Hei"/>
        <family val="2"/>
      </rPr>
      <t xml:space="preserve">日建設計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乃村工藝社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間伐材利用某サーキュラー案件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試作用</t>
    </r>
    <r>
      <rPr>
        <sz val="10"/>
        <rFont val="Meiryo"/>
        <family val="0"/>
        <charset val="1"/>
      </rPr>
      <t xml:space="preserve">eco</t>
    </r>
    <r>
      <rPr>
        <sz val="10"/>
        <rFont val="WenQuanYi Zen Hei"/>
        <family val="2"/>
      </rPr>
      <t xml:space="preserve">シラ合板</t>
    </r>
  </si>
  <si>
    <t xml:space="preserve">2026/09/15</t>
  </si>
  <si>
    <r>
      <rPr>
        <sz val="10"/>
        <rFont val="Meiryo"/>
        <family val="0"/>
        <charset val="1"/>
      </rPr>
      <t xml:space="preserve">J</t>
    </r>
    <r>
      <rPr>
        <sz val="10"/>
        <rFont val="WenQuanYi Zen Hei"/>
        <family val="2"/>
      </rPr>
      <t xml:space="preserve">パネル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枚　扉</t>
    </r>
  </si>
  <si>
    <t xml:space="preserve">藍建材サンプル</t>
  </si>
  <si>
    <t xml:space="preserve">2026/09/24</t>
  </si>
  <si>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PJ_⑤</t>
    </r>
    <r>
      <rPr>
        <sz val="10"/>
        <rFont val="WenQuanYi Zen Hei"/>
        <family val="2"/>
      </rPr>
      <t xml:space="preserve">記念品製造／バードコール＆写真フレーム</t>
    </r>
  </si>
  <si>
    <t xml:space="preserve">減額</t>
  </si>
  <si>
    <t xml:space="preserve">2026/09/11</t>
  </si>
  <si>
    <r>
      <rPr>
        <b val="true"/>
        <sz val="13"/>
        <color rgb="FF2C5F2D"/>
        <rFont val="Meiryo"/>
        <family val="0"/>
        <charset val="1"/>
      </rPr>
      <t xml:space="preserve">9</t>
    </r>
    <r>
      <rPr>
        <b val="true"/>
        <sz val="13"/>
        <color rgb="FF2C5F2D"/>
        <rFont val="WenQuanYi Zen Hei"/>
        <family val="2"/>
      </rPr>
      <t xml:space="preserve">月に成約した案件（フェーズ → </t>
    </r>
    <r>
      <rPr>
        <b val="true"/>
        <sz val="13"/>
        <color rgb="FF2C5F2D"/>
        <rFont val="Meiryo"/>
        <family val="0"/>
        <charset val="1"/>
      </rPr>
      <t xml:space="preserve">07.</t>
    </r>
    <r>
      <rPr>
        <b val="true"/>
        <sz val="13"/>
        <color rgb="FF2C5F2D"/>
        <rFont val="WenQuanYi Zen Hei"/>
        <family val="2"/>
      </rPr>
      <t xml:space="preserve">成約）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</si>
  <si>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</t>
    </r>
  </si>
  <si>
    <t xml:space="preserve">金額</t>
  </si>
  <si>
    <t xml:space="preserve">変更前フェーズ</t>
  </si>
  <si>
    <t xml:space="preserve">完了予定日</t>
  </si>
  <si>
    <r>
      <rPr>
        <sz val="10"/>
        <rFont val="WenQuanYi Zen Hei"/>
        <family val="2"/>
      </rPr>
      <t xml:space="preserve">アルジェニクスジャパン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オフィス家具</t>
    </r>
  </si>
  <si>
    <r>
      <rPr>
        <sz val="10"/>
        <rFont val="Meiryo"/>
        <family val="0"/>
        <charset val="1"/>
      </rPr>
      <t xml:space="preserve">01.</t>
    </r>
    <r>
      <rPr>
        <sz val="10"/>
        <rFont val="WenQuanYi Zen Hei"/>
        <family val="2"/>
      </rPr>
      <t xml:space="preserve">商談化</t>
    </r>
  </si>
  <si>
    <t xml:space="preserve">2026/12/30</t>
  </si>
  <si>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PJ_④</t>
    </r>
    <r>
      <rPr>
        <sz val="10"/>
        <rFont val="WenQuanYi Zen Hei"/>
        <family val="2"/>
      </rPr>
      <t xml:space="preserve">小サイン・林内ベンチ製造</t>
    </r>
  </si>
  <si>
    <r>
      <rPr>
        <sz val="10"/>
        <rFont val="Meiryo"/>
        <family val="0"/>
        <charset val="1"/>
      </rPr>
      <t xml:space="preserve">06.</t>
    </r>
    <r>
      <rPr>
        <sz val="10"/>
        <rFont val="WenQuanYi Zen Hei"/>
        <family val="2"/>
      </rPr>
      <t xml:space="preserve">契約手続き中</t>
    </r>
  </si>
  <si>
    <r>
      <rPr>
        <sz val="10"/>
        <rFont val="WenQuanYi Zen Hei"/>
        <family val="2"/>
      </rPr>
      <t xml:space="preserve">ホウライ様予算</t>
    </r>
    <r>
      <rPr>
        <sz val="10"/>
        <rFont val="Meiryo"/>
        <family val="0"/>
        <charset val="1"/>
      </rPr>
      <t xml:space="preserve">_26</t>
    </r>
    <r>
      <rPr>
        <sz val="10"/>
        <rFont val="WenQuanYi Zen Hei"/>
        <family val="2"/>
      </rPr>
      <t xml:space="preserve">年度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</t>
    </r>
    <r>
      <rPr>
        <sz val="10"/>
        <rFont val="WenQuanYi Zen Hei"/>
        <family val="2"/>
      </rPr>
      <t xml:space="preserve">林内ベンチ製造</t>
    </r>
  </si>
  <si>
    <t xml:space="preserve">2026/09/03</t>
  </si>
  <si>
    <r>
      <rPr>
        <sz val="10"/>
        <rFont val="Meiryo"/>
        <family val="0"/>
        <charset val="1"/>
      </rPr>
      <t xml:space="preserve">CLT</t>
    </r>
    <r>
      <rPr>
        <sz val="10"/>
        <rFont val="WenQuanYi Zen Hei"/>
        <family val="2"/>
      </rPr>
      <t xml:space="preserve">試験材</t>
    </r>
  </si>
  <si>
    <r>
      <rPr>
        <b val="true"/>
        <sz val="13"/>
        <color rgb="FF2C5F2D"/>
        <rFont val="Meiryo"/>
        <family val="0"/>
        <charset val="1"/>
      </rPr>
      <t xml:space="preserve">9</t>
    </r>
    <r>
      <rPr>
        <b val="true"/>
        <sz val="13"/>
        <color rgb="FF2C5F2D"/>
        <rFont val="WenQuanYi Zen Hei"/>
        <family val="2"/>
      </rPr>
      <t xml:space="preserve">月に新規作成された商談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</si>
  <si>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建築。単位：千円。「金額未入力」は見込みに乗っていない案件です。</t>
    </r>
  </si>
  <si>
    <t xml:space="preserve">確度</t>
  </si>
  <si>
    <t xml:space="preserve">フェーズ</t>
  </si>
  <si>
    <t xml:space="preserve">金額未入力</t>
  </si>
  <si>
    <r>
      <rPr>
        <sz val="10"/>
        <rFont val="WenQuanYi Zen Hei"/>
        <family val="2"/>
      </rPr>
      <t xml:space="preserve">子商談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認証桧柾目材供給</t>
    </r>
    <r>
      <rPr>
        <sz val="10"/>
        <rFont val="Meiryo"/>
        <family val="0"/>
        <charset val="1"/>
      </rPr>
      <t xml:space="preserve">PJ_4</t>
    </r>
    <r>
      <rPr>
        <sz val="10"/>
        <rFont val="WenQuanYi Zen Hei"/>
        <family val="2"/>
      </rPr>
      <t xml:space="preserve">回目</t>
    </r>
    <r>
      <rPr>
        <sz val="10"/>
        <rFont val="Meiryo"/>
        <family val="0"/>
        <charset val="1"/>
      </rPr>
      <t xml:space="preserve">(SGEC</t>
    </r>
    <r>
      <rPr>
        <sz val="10"/>
        <rFont val="WenQuanYi Zen Hei"/>
        <family val="2"/>
      </rPr>
      <t xml:space="preserve">富士市</t>
    </r>
    <r>
      <rPr>
        <sz val="10"/>
        <rFont val="Meiryo"/>
        <family val="0"/>
        <charset val="1"/>
      </rPr>
      <t xml:space="preserve">)</t>
    </r>
  </si>
  <si>
    <t xml:space="preserve">2026/12</t>
  </si>
  <si>
    <t xml:space="preserve">2027/03</t>
  </si>
  <si>
    <t xml:space="preserve">2026/11</t>
  </si>
  <si>
    <r>
      <rPr>
        <sz val="10"/>
        <rFont val="Meiryo"/>
        <family val="0"/>
        <charset val="1"/>
      </rPr>
      <t xml:space="preserve">3D</t>
    </r>
    <r>
      <rPr>
        <sz val="10"/>
        <rFont val="WenQuanYi Zen Hei"/>
        <family val="2"/>
      </rPr>
      <t xml:space="preserve">ベンチ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展示品</t>
    </r>
  </si>
  <si>
    <r>
      <rPr>
        <sz val="10"/>
        <rFont val="Meiryo"/>
        <family val="0"/>
        <charset val="1"/>
      </rPr>
      <t xml:space="preserve">HOTEL THE MITSUI_</t>
    </r>
    <r>
      <rPr>
        <sz val="10"/>
        <rFont val="WenQuanYi Zen Hei"/>
        <family val="2"/>
      </rPr>
      <t xml:space="preserve">補修</t>
    </r>
    <r>
      <rPr>
        <sz val="10"/>
        <rFont val="Meiryo"/>
        <family val="0"/>
        <charset val="1"/>
      </rPr>
      <t xml:space="preserve">_10</t>
    </r>
    <r>
      <rPr>
        <sz val="10"/>
        <rFont val="WenQuanYi Zen Hei"/>
        <family val="2"/>
      </rPr>
      <t xml:space="preserve">月</t>
    </r>
  </si>
  <si>
    <r>
      <rPr>
        <sz val="10"/>
        <rFont val="Meiryo"/>
        <family val="0"/>
        <charset val="1"/>
      </rPr>
      <t xml:space="preserve">05.</t>
    </r>
    <r>
      <rPr>
        <sz val="10"/>
        <rFont val="WenQuanYi Zen Hei"/>
        <family val="2"/>
      </rPr>
      <t xml:space="preserve">施工調整</t>
    </r>
  </si>
  <si>
    <t xml:space="preserve">2026/10</t>
  </si>
  <si>
    <r>
      <rPr>
        <sz val="10"/>
        <rFont val="WenQuanYi Zen Hei"/>
        <family val="2"/>
      </rPr>
      <t xml:space="preserve">茨城県産材利用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某案件</t>
    </r>
  </si>
  <si>
    <t xml:space="preserve">2026/09</t>
  </si>
  <si>
    <r>
      <rPr>
        <sz val="10"/>
        <rFont val="Meiryo"/>
        <family val="0"/>
        <charset val="1"/>
      </rPr>
      <t xml:space="preserve">07.</t>
    </r>
    <r>
      <rPr>
        <sz val="10"/>
        <rFont val="WenQuanYi Zen Hei"/>
        <family val="2"/>
      </rPr>
      <t xml:space="preserve">成約</t>
    </r>
  </si>
  <si>
    <r>
      <rPr>
        <sz val="10"/>
        <rFont val="WenQuanYi Zen Hei"/>
        <family val="2"/>
      </rPr>
      <t xml:space="preserve">銀座ミキモト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ドアハンドル</t>
    </r>
  </si>
  <si>
    <r>
      <rPr>
        <sz val="10"/>
        <rFont val="WenQuanYi Zen Hei"/>
        <family val="2"/>
      </rPr>
      <t xml:space="preserve">（仮称）ファインコート三鷹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三井不社有林利用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図面およびモックアップ作成フェーズ</t>
    </r>
  </si>
  <si>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年度から継続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</t>
    </r>
    <r>
      <rPr>
        <sz val="10"/>
        <rFont val="WenQuanYi Zen Hei"/>
        <family val="2"/>
      </rPr>
      <t xml:space="preserve">アクリル板</t>
    </r>
    <r>
      <rPr>
        <sz val="10"/>
        <rFont val="Meiryo"/>
        <family val="0"/>
        <charset val="1"/>
      </rPr>
      <t xml:space="preserve">200</t>
    </r>
    <r>
      <rPr>
        <sz val="10"/>
        <rFont val="WenQuanYi Zen Hei"/>
        <family val="2"/>
      </rPr>
      <t xml:space="preserve">枚後納品分</t>
    </r>
  </si>
  <si>
    <t xml:space="preserve">2027/12</t>
  </si>
  <si>
    <r>
      <rPr>
        <sz val="10"/>
        <rFont val="WenQuanYi Zen Hei"/>
        <family val="2"/>
      </rPr>
      <t xml:space="preserve">味の素本社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アジパンダショップ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プライスカード立て（追加）</t>
    </r>
  </si>
  <si>
    <r>
      <rPr>
        <sz val="10"/>
        <rFont val="WenQuanYi Zen Hei"/>
        <family val="2"/>
      </rPr>
      <t xml:space="preserve">サミット本社ビル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階改装</t>
    </r>
  </si>
  <si>
    <t xml:space="preserve">●</t>
  </si>
  <si>
    <r>
      <rPr>
        <sz val="10"/>
        <rFont val="WenQuanYi Zen Hei"/>
        <family val="2"/>
      </rPr>
      <t xml:space="preserve">ラーメン店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間仕切壁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不燃木材提案</t>
    </r>
  </si>
  <si>
    <t xml:space="preserve">2030/03</t>
  </si>
  <si>
    <r>
      <rPr>
        <sz val="10"/>
        <rFont val="WenQuanYi Zen Hei"/>
        <family val="2"/>
      </rPr>
      <t xml:space="preserve">池田山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既存樹アートオブジェ</t>
    </r>
  </si>
  <si>
    <r>
      <rPr>
        <sz val="10"/>
        <rFont val="WenQuanYi Zen Hei"/>
        <family val="2"/>
      </rPr>
      <t xml:space="preserve">三井不動産レジデンシャル</t>
    </r>
    <r>
      <rPr>
        <sz val="10"/>
        <rFont val="Meiryo"/>
        <family val="0"/>
        <charset val="1"/>
      </rPr>
      <t xml:space="preserve">_ChopValue</t>
    </r>
    <r>
      <rPr>
        <sz val="10"/>
        <rFont val="WenQuanYi Zen Hei"/>
        <family val="2"/>
      </rPr>
      <t xml:space="preserve">加工</t>
    </r>
  </si>
  <si>
    <t xml:space="preserve">2028/01</t>
  </si>
  <si>
    <r>
      <rPr>
        <sz val="10"/>
        <rFont val="Meiryo"/>
        <family val="0"/>
        <charset val="1"/>
      </rPr>
      <t xml:space="preserve">Fujitsu Technology Park</t>
    </r>
    <r>
      <rPr>
        <sz val="10"/>
        <rFont val="WenQuanYi Zen Hei"/>
        <family val="2"/>
      </rPr>
      <t xml:space="preserve">プロジェクト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既存樹活用（製作フェーズ）</t>
    </r>
  </si>
  <si>
    <t xml:space="preserve">2028/08</t>
  </si>
  <si>
    <r>
      <rPr>
        <sz val="10"/>
        <rFont val="WenQuanYi Zen Hei"/>
        <family val="2"/>
      </rPr>
      <t xml:space="preserve">花博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日比谷花壇ブース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ベンチ兼テーブル</t>
    </r>
  </si>
  <si>
    <r>
      <rPr>
        <sz val="10"/>
        <rFont val="WenQuanYi Zen Hei"/>
        <family val="2"/>
      </rPr>
      <t xml:space="preserve">多摩産材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飲食店カラトリ―什器</t>
    </r>
  </si>
  <si>
    <t xml:space="preserve">藍建材羽目板</t>
  </si>
  <si>
    <t xml:space="preserve">2027/02</t>
  </si>
  <si>
    <t xml:space="preserve">既存樹余り材活用プロジェクト</t>
  </si>
  <si>
    <t xml:space="preserve">2027/06</t>
  </si>
  <si>
    <r>
      <rPr>
        <sz val="10"/>
        <rFont val="WenQuanYi Zen Hei"/>
        <family val="2"/>
      </rPr>
      <t xml:space="preserve">世田谷飲食店</t>
    </r>
    <r>
      <rPr>
        <sz val="10"/>
        <rFont val="Meiryo"/>
        <family val="0"/>
        <charset val="1"/>
      </rPr>
      <t xml:space="preserve">_VE</t>
    </r>
    <r>
      <rPr>
        <sz val="10"/>
        <rFont val="WenQuanYi Zen Hei"/>
        <family val="2"/>
      </rPr>
      <t xml:space="preserve">提案壁材</t>
    </r>
  </si>
  <si>
    <r>
      <rPr>
        <sz val="10"/>
        <rFont val="Meiryo"/>
        <family val="0"/>
        <charset val="1"/>
      </rPr>
      <t xml:space="preserve">02.</t>
    </r>
    <r>
      <rPr>
        <sz val="10"/>
        <rFont val="WenQuanYi Zen Hei"/>
        <family val="2"/>
      </rPr>
      <t xml:space="preserve">提案</t>
    </r>
  </si>
  <si>
    <t xml:space="preserve">秋田県産ドアハンドル</t>
  </si>
  <si>
    <r>
      <rPr>
        <sz val="10"/>
        <rFont val="WenQuanYi Zen Hei"/>
        <family val="2"/>
      </rPr>
      <t xml:space="preserve">ホウライ様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周年記念品</t>
    </r>
  </si>
  <si>
    <t xml:space="preserve">2027/09</t>
  </si>
  <si>
    <r>
      <rPr>
        <sz val="10"/>
        <rFont val="WenQuanYi Zen Hei"/>
        <family val="2"/>
      </rPr>
      <t xml:space="preserve">千葉県事業所内食堂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伐採木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ジェスモナイト天板製作</t>
    </r>
  </si>
  <si>
    <t xml:space="preserve">2028/03</t>
  </si>
  <si>
    <r>
      <rPr>
        <sz val="10"/>
        <rFont val="WenQuanYi Zen Hei"/>
        <family val="2"/>
      </rPr>
      <t xml:space="preserve">鷺沼駅前開発　既存樹活用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ソメイヨシノ・ノベルティ小物</t>
    </r>
    <r>
      <rPr>
        <sz val="10"/>
        <rFont val="Meiryo"/>
        <family val="0"/>
        <charset val="1"/>
      </rPr>
      <t xml:space="preserve">)</t>
    </r>
  </si>
  <si>
    <t xml:space="preserve">2035/03</t>
  </si>
  <si>
    <r>
      <rPr>
        <sz val="10"/>
        <rFont val="WenQuanYi Zen Hei"/>
        <family val="2"/>
      </rPr>
      <t xml:space="preserve">青森空港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地域材内装・什器</t>
    </r>
  </si>
  <si>
    <r>
      <rPr>
        <sz val="10"/>
        <rFont val="WenQuanYi Zen Hei"/>
        <family val="2"/>
      </rPr>
      <t xml:space="preserve">かつくら新宿高島屋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おくどんさん</t>
    </r>
  </si>
  <si>
    <r>
      <rPr>
        <sz val="10"/>
        <rFont val="WenQuanYi Zen Hei"/>
        <family val="2"/>
      </rPr>
      <t xml:space="preserve">滋賀県大津市</t>
    </r>
    <r>
      <rPr>
        <sz val="10"/>
        <rFont val="Meiryo"/>
        <family val="0"/>
        <charset val="1"/>
      </rPr>
      <t xml:space="preserve">PJ</t>
    </r>
  </si>
  <si>
    <t xml:space="preserve">2027/07</t>
  </si>
  <si>
    <r>
      <rPr>
        <sz val="10"/>
        <rFont val="WenQuanYi Zen Hei"/>
        <family val="2"/>
      </rPr>
      <t xml:space="preserve">千葉県商業施設改装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不燃木材</t>
    </r>
  </si>
  <si>
    <r>
      <rPr>
        <b val="true"/>
        <sz val="13"/>
        <color rgb="FF2C5F2D"/>
        <rFont val="Meiryo"/>
        <family val="0"/>
        <charset val="1"/>
      </rPr>
      <t xml:space="preserve">9</t>
    </r>
    <r>
      <rPr>
        <b val="true"/>
        <sz val="13"/>
        <color rgb="FF2C5F2D"/>
        <rFont val="WenQuanYi Zen Hei"/>
        <family val="2"/>
      </rPr>
      <t xml:space="preserve">月に失注した案件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</si>
  <si>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建築。単位：千円。いずれも確度</t>
    </r>
    <r>
      <rPr>
        <sz val="9"/>
        <color rgb="FF767676"/>
        <rFont val="Meiryo"/>
        <family val="0"/>
        <charset val="1"/>
      </rPr>
      <t xml:space="preserve">C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D</t>
    </r>
    <r>
      <rPr>
        <sz val="9"/>
        <color rgb="FF767676"/>
        <rFont val="WenQuanYi Zen Hei"/>
        <family val="2"/>
      </rPr>
      <t xml:space="preserve">のため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総玉への影響はありません。</t>
    </r>
  </si>
  <si>
    <t xml:space="preserve">失注前フェーズ</t>
  </si>
  <si>
    <t xml:space="preserve">都内タワーマンションフローリング</t>
  </si>
  <si>
    <r>
      <rPr>
        <sz val="10"/>
        <rFont val="WenQuanYi Zen Hei"/>
        <family val="2"/>
      </rPr>
      <t xml:space="preserve">沖縄県産材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椅子製作</t>
    </r>
  </si>
  <si>
    <r>
      <rPr>
        <sz val="10"/>
        <rFont val="WenQuanYi Zen Hei"/>
        <family val="2"/>
      </rPr>
      <t xml:space="preserve">東急</t>
    </r>
    <r>
      <rPr>
        <sz val="10"/>
        <rFont val="Meiryo"/>
        <family val="0"/>
        <charset val="1"/>
      </rPr>
      <t xml:space="preserve">HVC</t>
    </r>
    <r>
      <rPr>
        <sz val="10"/>
        <rFont val="WenQuanYi Zen Hei"/>
        <family val="2"/>
      </rPr>
      <t xml:space="preserve">草津</t>
    </r>
    <r>
      <rPr>
        <sz val="10"/>
        <rFont val="Meiryo"/>
        <family val="0"/>
        <charset val="1"/>
      </rPr>
      <t xml:space="preserve">_FF&amp;E</t>
    </r>
  </si>
  <si>
    <t xml:space="preserve">光円寺　寺院古材活用に向けた地蔵堂解体工事</t>
  </si>
  <si>
    <r>
      <rPr>
        <sz val="10"/>
        <rFont val="WenQuanYi Zen Hei"/>
        <family val="2"/>
      </rPr>
      <t xml:space="preserve">霞が関</t>
    </r>
    <r>
      <rPr>
        <sz val="10"/>
        <rFont val="Meiryo"/>
        <family val="0"/>
        <charset val="1"/>
      </rPr>
      <t xml:space="preserve">PJ</t>
    </r>
  </si>
  <si>
    <r>
      <rPr>
        <sz val="10"/>
        <rFont val="Meiryo"/>
        <family val="0"/>
        <charset val="1"/>
      </rPr>
      <t xml:space="preserve">LINA WOOD_</t>
    </r>
    <r>
      <rPr>
        <sz val="10"/>
        <rFont val="WenQuanYi Zen Hei"/>
        <family val="2"/>
      </rPr>
      <t xml:space="preserve">ナラ</t>
    </r>
  </si>
  <si>
    <r>
      <rPr>
        <sz val="10"/>
        <rFont val="WenQuanYi Zen Hei"/>
        <family val="2"/>
      </rPr>
      <t xml:space="preserve">造作家具用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国産合板</t>
    </r>
  </si>
  <si>
    <r>
      <rPr>
        <sz val="10"/>
        <rFont val="WenQuanYi Zen Hei"/>
        <family val="2"/>
      </rPr>
      <t xml:space="preserve">群馬ホテルリノベーション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なぐりフローリング特注色</t>
    </r>
  </si>
  <si>
    <r>
      <rPr>
        <sz val="10"/>
        <rFont val="WenQuanYi Zen Hei"/>
        <family val="2"/>
      </rPr>
      <t xml:space="preserve">カトリック上野教会</t>
    </r>
    <r>
      <rPr>
        <sz val="10"/>
        <rFont val="Meiryo"/>
        <family val="0"/>
        <charset val="1"/>
      </rPr>
      <t xml:space="preserve">_Emma</t>
    </r>
  </si>
  <si>
    <t xml:space="preserve">算出方法と注意点</t>
  </si>
  <si>
    <t xml:space="preserve">■ 対象</t>
  </si>
  <si>
    <t xml:space="preserve">レコードタイプ</t>
  </si>
  <si>
    <r>
      <rPr>
        <sz val="10"/>
        <rFont val="WenQuanYi Zen Hei"/>
        <family val="2"/>
      </rPr>
      <t xml:space="preserve">木材コーディネート／</t>
    </r>
    <r>
      <rPr>
        <sz val="10"/>
        <rFont val="Meiryo"/>
        <family val="0"/>
        <charset val="1"/>
      </rPr>
      <t xml:space="preserve">TREEBATON</t>
    </r>
    <r>
      <rPr>
        <sz val="10"/>
        <rFont val="WenQuanYi Zen Hei"/>
        <family val="2"/>
      </rPr>
      <t xml:space="preserve">／建築案件。</t>
    </r>
    <r>
      <rPr>
        <sz val="10"/>
        <rFont val="Meiryo"/>
        <family val="0"/>
        <charset val="1"/>
      </rPr>
      <t xml:space="preserve">OEM</t>
    </r>
    <r>
      <rPr>
        <sz val="10"/>
        <rFont val="WenQuanYi Zen Hei"/>
        <family val="2"/>
      </rPr>
      <t xml:space="preserve">・森林認証コンサル・受託事業は対象外</t>
    </r>
  </si>
  <si>
    <t xml:space="preserve">期間</t>
  </si>
  <si>
    <r>
      <rPr>
        <sz val="10"/>
        <rFont val="Meiryo"/>
        <family val="0"/>
        <charset val="1"/>
      </rPr>
      <t xml:space="preserve">2026/09/01 10:26 </t>
    </r>
    <r>
      <rPr>
        <sz val="10"/>
        <rFont val="WenQuanYi Zen Hei"/>
        <family val="2"/>
      </rPr>
      <t xml:space="preserve">〜 </t>
    </r>
    <r>
      <rPr>
        <sz val="10"/>
        <rFont val="Meiryo"/>
        <family val="0"/>
        <charset val="1"/>
      </rPr>
      <t xml:space="preserve">2026/09/28 15:37</t>
    </r>
    <r>
      <rPr>
        <sz val="10"/>
        <rFont val="WenQuanYi Zen Hei"/>
        <family val="2"/>
      </rPr>
      <t xml:space="preserve">。</t>
    </r>
    <r>
      <rPr>
        <sz val="10"/>
        <rFont val="Meiryo"/>
        <family val="0"/>
        <charset val="1"/>
      </rPr>
      <t xml:space="preserve">9/29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9/30</t>
    </r>
    <r>
      <rPr>
        <sz val="10"/>
        <rFont val="WenQuanYi Zen Hei"/>
        <family val="2"/>
      </rPr>
      <t xml:space="preserve">の動きは含まれていません</t>
    </r>
  </si>
  <si>
    <t xml:space="preserve">除外</t>
  </si>
  <si>
    <t xml:space="preserve">＊原価管理用＊ を含む商談</t>
  </si>
  <si>
    <t xml:space="preserve">■ どうやって作ったか</t>
  </si>
  <si>
    <t xml:space="preserve">元データ</t>
  </si>
  <si>
    <r>
      <rPr>
        <sz val="10"/>
        <rFont val="Meiryo"/>
        <family val="0"/>
        <charset val="1"/>
      </rPr>
      <t xml:space="preserve">SF</t>
    </r>
    <r>
      <rPr>
        <sz val="10"/>
        <rFont val="WenQuanYi Zen Hei"/>
        <family val="2"/>
      </rPr>
      <t xml:space="preserve">の商談変更履歴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本（</t>
    </r>
    <r>
      <rPr>
        <sz val="10"/>
        <rFont val="Meiryo"/>
        <family val="0"/>
        <charset val="1"/>
      </rPr>
      <t xml:space="preserve">09/01-09/08</t>
    </r>
    <r>
      <rPr>
        <sz val="10"/>
        <rFont val="WenQuanYi Zen Hei"/>
        <family val="2"/>
      </rPr>
      <t xml:space="preserve">／</t>
    </r>
    <r>
      <rPr>
        <sz val="10"/>
        <rFont val="Meiryo"/>
        <family val="0"/>
        <charset val="1"/>
      </rPr>
      <t xml:space="preserve">09/08-09/14</t>
    </r>
    <r>
      <rPr>
        <sz val="10"/>
        <rFont val="WenQuanYi Zen Hei"/>
        <family val="2"/>
      </rPr>
      <t xml:space="preserve">／</t>
    </r>
    <r>
      <rPr>
        <sz val="10"/>
        <rFont val="Meiryo"/>
        <family val="0"/>
        <charset val="1"/>
      </rPr>
      <t xml:space="preserve">09/14-09/28</t>
    </r>
    <r>
      <rPr>
        <sz val="10"/>
        <rFont val="WenQuanYi Zen Hei"/>
        <family val="2"/>
      </rPr>
      <t xml:space="preserve">）</t>
    </r>
    <r>
      <rPr>
        <sz val="10"/>
        <rFont val="Meiryo"/>
        <family val="0"/>
        <charset val="1"/>
      </rPr>
      <t xml:space="preserve">405</t>
    </r>
    <r>
      <rPr>
        <sz val="10"/>
        <rFont val="WenQuanYi Zen Hei"/>
        <family val="2"/>
      </rPr>
      <t xml:space="preserve">件</t>
    </r>
  </si>
  <si>
    <t xml:space="preserve">方法</t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</si>
  <si>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・金額・フェーズ・完了予定日・作成 の変更を時系列で再生</t>
    </r>
  </si>
  <si>
    <r>
      <rPr>
        <b val="true"/>
        <sz val="10"/>
        <color rgb="FF1A1A1A"/>
        <rFont val="Meiryo"/>
        <family val="0"/>
        <charset val="1"/>
      </rPr>
      <t xml:space="preserve">9/1</t>
    </r>
    <r>
      <rPr>
        <b val="true"/>
        <sz val="10"/>
        <color rgb="FF1A1A1A"/>
        <rFont val="WenQuanYi Zen Hei"/>
        <family val="2"/>
      </rPr>
      <t xml:space="preserve">時点の値</t>
    </r>
  </si>
  <si>
    <t xml:space="preserve">現在値から変更チェーンを逆向きに辿って復元（元の値→新しい値のループに対応）</t>
  </si>
  <si>
    <t xml:space="preserve">重複</t>
  </si>
  <si>
    <t xml:space="preserve">ファイル間で重なる期間の同一変更は除外済み</t>
  </si>
  <si>
    <t xml:space="preserve">■ 定義</t>
  </si>
  <si>
    <r>
      <rPr>
        <b val="true"/>
        <sz val="10"/>
        <color rgb="FF1A1A1A"/>
        <rFont val="Meiryo"/>
        <family val="0"/>
        <charset val="1"/>
      </rPr>
      <t xml:space="preserve">AB</t>
    </r>
    <r>
      <rPr>
        <b val="true"/>
        <sz val="10"/>
        <color rgb="FF1A1A1A"/>
        <rFont val="WenQuanYi Zen Hei"/>
        <family val="2"/>
      </rPr>
      <t xml:space="preserve">総玉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</si>
  <si>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B </t>
    </r>
    <r>
      <rPr>
        <sz val="10"/>
        <rFont val="WenQuanYi Zen Hei"/>
        <family val="2"/>
      </rPr>
      <t xml:space="preserve">かつ フェーズ≠</t>
    </r>
    <r>
      <rPr>
        <sz val="10"/>
        <rFont val="Meiryo"/>
        <family val="0"/>
        <charset val="1"/>
      </rPr>
      <t xml:space="preserve">00_</t>
    </r>
    <r>
      <rPr>
        <sz val="10"/>
        <rFont val="WenQuanYi Zen Hei"/>
        <family val="2"/>
      </rPr>
      <t xml:space="preserve">失注 かつ 完了予定日が</t>
    </r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年度（</t>
    </r>
    <r>
      <rPr>
        <sz val="10"/>
        <rFont val="Meiryo"/>
        <family val="0"/>
        <charset val="1"/>
      </rPr>
      <t xml:space="preserve">2026/04/01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2027/03/31</t>
    </r>
    <r>
      <rPr>
        <sz val="10"/>
        <rFont val="WenQuanYi Zen Hei"/>
        <family val="2"/>
      </rPr>
      <t xml:space="preserve">）内 の金額</t>
    </r>
  </si>
  <si>
    <t xml:space="preserve">増減</t>
  </si>
  <si>
    <r>
      <rPr>
        <sz val="10"/>
        <rFont val="Meiryo"/>
        <family val="0"/>
        <charset val="1"/>
      </rPr>
      <t xml:space="preserve">9/28</t>
    </r>
    <r>
      <rPr>
        <sz val="10"/>
        <rFont val="WenQuanYi Zen Hei"/>
        <family val="2"/>
      </rPr>
      <t xml:space="preserve">時点の</t>
    </r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総玉 − </t>
    </r>
    <r>
      <rPr>
        <sz val="10"/>
        <rFont val="Meiryo"/>
        <family val="0"/>
        <charset val="1"/>
      </rPr>
      <t xml:space="preserve">9/1</t>
    </r>
    <r>
      <rPr>
        <sz val="10"/>
        <rFont val="WenQuanYi Zen Hei"/>
        <family val="2"/>
      </rPr>
      <t xml:space="preserve">時点の</t>
    </r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総玉</t>
    </r>
  </si>
  <si>
    <r>
      <rPr>
        <b val="true"/>
        <sz val="10"/>
        <color rgb="FF1A1A1A"/>
        <rFont val="WenQuanYi Zen Hei"/>
        <family val="2"/>
      </rPr>
      <t xml:space="preserve">確度</t>
    </r>
    <r>
      <rPr>
        <b val="true"/>
        <sz val="10"/>
        <color rgb="FF1A1A1A"/>
        <rFont val="Meiryo"/>
        <family val="0"/>
        <charset val="1"/>
      </rPr>
      <t xml:space="preserve">UP</t>
    </r>
  </si>
  <si>
    <r>
      <rPr>
        <sz val="10"/>
        <rFont val="Meiryo"/>
        <family val="0"/>
        <charset val="1"/>
      </rPr>
      <t xml:space="preserve">9/1</t>
    </r>
    <r>
      <rPr>
        <sz val="10"/>
        <rFont val="WenQuanYi Zen Hei"/>
        <family val="2"/>
      </rPr>
      <t xml:space="preserve">は</t>
    </r>
    <r>
      <rPr>
        <sz val="10"/>
        <rFont val="Meiryo"/>
        <family val="0"/>
        <charset val="1"/>
      </rPr>
      <t xml:space="preserve">C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D</t>
    </r>
    <r>
      <rPr>
        <sz val="10"/>
        <rFont val="WenQuanYi Zen Hei"/>
        <family val="2"/>
      </rPr>
      <t xml:space="preserve">・長期、</t>
    </r>
    <r>
      <rPr>
        <sz val="10"/>
        <rFont val="Meiryo"/>
        <family val="0"/>
        <charset val="1"/>
      </rPr>
      <t xml:space="preserve">9/28</t>
    </r>
    <r>
      <rPr>
        <sz val="10"/>
        <rFont val="WenQuanYi Zen Hei"/>
        <family val="2"/>
      </rPr>
      <t xml:space="preserve">は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B</t>
    </r>
    <r>
      <rPr>
        <sz val="10"/>
        <rFont val="WenQuanYi Zen Hei"/>
        <family val="2"/>
      </rPr>
      <t xml:space="preserve">になったもの</t>
    </r>
  </si>
  <si>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月中に作成された商談。</t>
    </r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総玉に乗ったのは一部のみ</t>
    </r>
  </si>
  <si>
    <t xml:space="preserve">期ズレ</t>
  </si>
  <si>
    <r>
      <rPr>
        <sz val="10"/>
        <rFont val="WenQuanYi Zen Hei"/>
        <family val="2"/>
      </rPr>
      <t xml:space="preserve">完了予定日が</t>
    </r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年度外へ移動したもの</t>
    </r>
  </si>
  <si>
    <t xml:space="preserve">■ 注意点</t>
  </si>
  <si>
    <r>
      <rPr>
        <sz val="10"/>
        <rFont val="WenQuanYi Zen Hei"/>
        <family val="2"/>
      </rPr>
      <t xml:space="preserve">新規</t>
    </r>
    <r>
      <rPr>
        <sz val="10"/>
        <rFont val="Meiryo"/>
        <family val="0"/>
        <charset val="1"/>
      </rPr>
      <t xml:space="preserve">38</t>
    </r>
    <r>
      <rPr>
        <sz val="10"/>
        <rFont val="WenQuanYi Zen Hei"/>
        <family val="2"/>
      </rPr>
      <t xml:space="preserve">件のうち</t>
    </r>
    <r>
      <rPr>
        <sz val="10"/>
        <rFont val="Meiryo"/>
        <family val="0"/>
        <charset val="1"/>
      </rPr>
      <t xml:space="preserve">18</t>
    </r>
    <r>
      <rPr>
        <sz val="10"/>
        <rFont val="WenQuanYi Zen Hei"/>
        <family val="2"/>
      </rPr>
      <t xml:space="preserve">件（</t>
    </r>
    <r>
      <rPr>
        <sz val="10"/>
        <rFont val="Meiryo"/>
        <family val="0"/>
        <charset val="1"/>
      </rPr>
      <t xml:space="preserve">47%</t>
    </r>
    <r>
      <rPr>
        <sz val="10"/>
        <rFont val="WenQuanYi Zen Hei"/>
        <family val="2"/>
      </rPr>
      <t xml:space="preserve">）が金額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。見込みに乗っていない</t>
    </r>
  </si>
  <si>
    <t xml:space="preserve">集中度</t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</si>
  <si>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の</t>
    </r>
    <r>
      <rPr>
        <sz val="10"/>
        <rFont val="Meiryo"/>
        <family val="0"/>
        <charset val="1"/>
      </rPr>
      <t xml:space="preserve">90.8%</t>
    </r>
    <r>
      <rPr>
        <sz val="10"/>
        <rFont val="WenQuanYi Zen Hei"/>
        <family val="2"/>
      </rPr>
      <t xml:space="preserve">が認証桧柾目材供給</t>
    </r>
    <r>
      <rPr>
        <sz val="10"/>
        <rFont val="Meiryo"/>
        <family val="0"/>
        <charset val="1"/>
      </rPr>
      <t xml:space="preserve">PJ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回目＋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回目）の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件</t>
    </r>
  </si>
  <si>
    <r>
      <rPr>
        <sz val="10"/>
        <rFont val="WenQuanYi Zen Hei"/>
        <family val="2"/>
      </rPr>
      <t xml:space="preserve">成約の</t>
    </r>
    <r>
      <rPr>
        <sz val="10"/>
        <rFont val="Meiryo"/>
        <family val="0"/>
        <charset val="1"/>
      </rPr>
      <t xml:space="preserve">44.0%</t>
    </r>
    <r>
      <rPr>
        <sz val="10"/>
        <rFont val="WenQuanYi Zen Hei"/>
        <family val="2"/>
      </rPr>
      <t xml:space="preserve">が千本松牧場</t>
    </r>
    <r>
      <rPr>
        <sz val="10"/>
        <rFont val="Meiryo"/>
        <family val="0"/>
        <charset val="1"/>
      </rPr>
      <t xml:space="preserve">PJ</t>
    </r>
    <r>
      <rPr>
        <sz val="10"/>
        <rFont val="WenQuanYi Zen Hei"/>
        <family val="2"/>
      </rPr>
      <t xml:space="preserve">の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件</t>
    </r>
  </si>
  <si>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総玉の増加は枠材製作モックアップ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件（</t>
    </r>
    <r>
      <rPr>
        <sz val="10"/>
        <rFont val="Meiryo"/>
        <family val="0"/>
        <charset val="1"/>
      </rPr>
      <t xml:space="preserve">462</t>
    </r>
    <r>
      <rPr>
        <sz val="10"/>
        <rFont val="WenQuanYi Zen Hei"/>
        <family val="2"/>
      </rPr>
      <t xml:space="preserve">千円）のみ</t>
    </r>
  </si>
  <si>
    <r>
      <rPr>
        <b val="true"/>
        <sz val="10"/>
        <color rgb="FF1A1A1A"/>
        <rFont val="Meiryo"/>
        <family val="0"/>
        <charset val="1"/>
      </rPr>
      <t xml:space="preserve">ATONA_</t>
    </r>
    <r>
      <rPr>
        <b val="true"/>
        <sz val="10"/>
        <color rgb="FF1A1A1A"/>
        <rFont val="WenQuanYi Zen Hei"/>
        <family val="2"/>
      </rPr>
      <t xml:space="preserve">京都</t>
    </r>
    <r>
      <rPr>
        <b val="true"/>
        <sz val="10"/>
        <color rgb="FF1A1A1A"/>
        <rFont val="Meiryo"/>
        <family val="0"/>
        <charset val="1"/>
      </rPr>
      <t xml:space="preserve">_FFE</t>
    </r>
  </si>
  <si>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月中に金額が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と</t>
    </r>
    <r>
      <rPr>
        <sz val="10"/>
        <rFont val="Meiryo"/>
        <family val="0"/>
        <charset val="1"/>
      </rPr>
      <t xml:space="preserve">5,900,000</t>
    </r>
    <r>
      <rPr>
        <sz val="10"/>
        <rFont val="WenQuanYi Zen Hei"/>
        <family val="2"/>
      </rPr>
      <t xml:space="preserve">の間を何度も往復。</t>
    </r>
    <r>
      <rPr>
        <sz val="10"/>
        <rFont val="Meiryo"/>
        <family val="0"/>
        <charset val="1"/>
      </rPr>
      <t xml:space="preserve">9/1</t>
    </r>
    <r>
      <rPr>
        <sz val="10"/>
        <rFont val="WenQuanYi Zen Hei"/>
        <family val="2"/>
      </rPr>
      <t xml:space="preserve">と</t>
    </r>
    <r>
      <rPr>
        <sz val="10"/>
        <rFont val="Meiryo"/>
        <family val="0"/>
        <charset val="1"/>
      </rPr>
      <t xml:space="preserve">9/28</t>
    </r>
    <r>
      <rPr>
        <sz val="10"/>
        <rFont val="WenQuanYi Zen Hei"/>
        <family val="2"/>
      </rPr>
      <t xml:space="preserve">で同額のため増減ゼロとして扱った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</si>
</sst>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+#,##0;\▲#,##0;\-"/>
    <numFmt numFmtId="166" formatCode="#,##0"/>
    <numFmt numFmtId="167" formatCode="#,##0;\▲#,##0;\-"/>
    <numFmt numFmtId="168" formatCode="0.0%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C5F2D"/>
      <name val="Meiryo"/>
      <family val="0"/>
      <charset val="1"/>
    </font>
    <font>
      <b val="true"/>
      <sz val="16"/>
      <color rgb="FF2C5F2D"/>
      <name val="WenQuanYi Zen Hei"/>
      <family val="2"/>
    </font>
    <font>
      <sz val="9"/>
      <color rgb="FF767676"/>
      <name val="Meiryo"/>
      <family val="0"/>
      <charset val="1"/>
    </font>
    <font>
      <sz val="9"/>
      <color rgb="FF767676"/>
      <name val="WenQuanYi Zen Hei"/>
      <family val="2"/>
    </font>
    <font>
      <b val="true"/>
      <sz val="12"/>
      <color rgb="FF2C5F2D"/>
      <name val="WenQuanYi Zen Hei"/>
      <family val="2"/>
    </font>
    <font>
      <b val="true"/>
      <sz val="12"/>
      <color rgb="FF2C5F2D"/>
      <name val="Meiryo"/>
      <family val="0"/>
      <charset val="1"/>
    </font>
    <font>
      <b val="true"/>
      <sz val="9.5"/>
      <color rgb="FF767676"/>
      <name val="WenQuanYi Zen Hei"/>
      <family val="2"/>
    </font>
    <font>
      <b val="true"/>
      <sz val="9.5"/>
      <color rgb="FF767676"/>
      <name val="Meiryo"/>
      <family val="0"/>
      <charset val="1"/>
    </font>
    <font>
      <b val="true"/>
      <sz val="24"/>
      <color rgb="FF2C5F2D"/>
      <name val="Meiryo"/>
      <family val="0"/>
      <charset val="1"/>
    </font>
    <font>
      <b val="true"/>
      <sz val="22"/>
      <color rgb="FF2C5F2D"/>
      <name val="Meiryo"/>
      <family val="0"/>
      <charset val="1"/>
    </font>
    <font>
      <b val="true"/>
      <sz val="22"/>
      <color rgb="FF1A1A1A"/>
      <name val="Meiryo"/>
      <family val="0"/>
      <charset val="1"/>
    </font>
    <font>
      <sz val="8.5"/>
      <color rgb="FF767676"/>
      <name val="WenQuanYi Zen Hei"/>
      <family val="2"/>
    </font>
    <font>
      <sz val="8.5"/>
      <color rgb="FF767676"/>
      <name val="Meiryo"/>
      <family val="0"/>
      <charset val="1"/>
    </font>
    <font>
      <b val="true"/>
      <sz val="24"/>
      <color rgb="FF1A1A1A"/>
      <name val="Meiryo"/>
      <family val="0"/>
      <charset val="1"/>
    </font>
    <font>
      <b val="true"/>
      <sz val="10"/>
      <color rgb="FFC87941"/>
      <name val="WenQuanYi Zen Hei"/>
      <family val="2"/>
    </font>
    <font>
      <b val="true"/>
      <sz val="10"/>
      <color rgb="FFC87941"/>
      <name val="Meiryo"/>
      <family val="0"/>
      <charset val="1"/>
    </font>
    <font>
      <b val="true"/>
      <sz val="24"/>
      <color rgb="FFB04A3C"/>
      <name val="Meiryo"/>
      <family val="0"/>
      <charset val="1"/>
    </font>
    <font>
      <b val="true"/>
      <sz val="22"/>
      <color rgb="FFC87941"/>
      <name val="Meiryo"/>
      <family val="0"/>
      <charset val="1"/>
    </font>
    <font>
      <b val="true"/>
      <sz val="10"/>
      <color rgb="FFB04A3C"/>
      <name val="WenQuanYi Zen Hei"/>
      <family val="2"/>
    </font>
    <font>
      <b val="true"/>
      <sz val="10"/>
      <color rgb="FFB04A3C"/>
      <name val="Meiryo"/>
      <family val="0"/>
      <charset val="1"/>
    </font>
    <font>
      <b val="true"/>
      <sz val="10.5"/>
      <color rgb="FF2C5F2D"/>
      <name val="WenQuanYi Zen Hei"/>
      <family val="2"/>
    </font>
    <font>
      <b val="true"/>
      <sz val="10.5"/>
      <color rgb="FF2C5F2D"/>
      <name val="Meiryo"/>
      <family val="0"/>
      <charset val="1"/>
    </font>
    <font>
      <b val="true"/>
      <sz val="13"/>
      <color rgb="FF2C5F2D"/>
      <name val="Meiryo"/>
      <family val="0"/>
      <charset val="1"/>
    </font>
    <font>
      <b val="true"/>
      <sz val="13"/>
      <color rgb="FF2C5F2D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Meiryo"/>
      <family val="0"/>
      <charset val="1"/>
    </font>
    <font>
      <sz val="10"/>
      <name val="WenQuanYi Zen Hei"/>
      <family val="2"/>
    </font>
    <font>
      <sz val="10"/>
      <name val="Meiryo"/>
      <family val="0"/>
      <charset val="1"/>
    </font>
    <font>
      <b val="true"/>
      <sz val="10"/>
      <color rgb="FF2C5F2D"/>
      <name val="WenQuanYi Zen Hei"/>
      <family val="2"/>
    </font>
    <font>
      <b val="true"/>
      <sz val="10"/>
      <color rgb="FF1A1A1A"/>
      <name val="WenQuanYi Zen Hei"/>
      <family val="2"/>
    </font>
    <font>
      <sz val="10"/>
      <color rgb="FF1A1A1A"/>
      <name val="Meiryo"/>
      <family val="0"/>
      <charset val="1"/>
    </font>
    <font>
      <b val="true"/>
      <sz val="10"/>
      <color rgb="FF1A1A1A"/>
      <name val="Meiryo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BF3EA"/>
        <bgColor rgb="FFF4F6F1"/>
      </patternFill>
    </fill>
    <fill>
      <patternFill patternType="solid">
        <fgColor rgb="FFF4F6F1"/>
        <bgColor rgb="FFFAFBF8"/>
      </patternFill>
    </fill>
    <fill>
      <patternFill patternType="solid">
        <fgColor rgb="FFFBEDEB"/>
        <bgColor rgb="FFF4F6F1"/>
      </patternFill>
    </fill>
    <fill>
      <patternFill patternType="solid">
        <fgColor rgb="FF2C5F2D"/>
        <bgColor rgb="FF008000"/>
      </patternFill>
    </fill>
    <fill>
      <patternFill patternType="solid">
        <fgColor rgb="FFFAFBF8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3DCC2"/>
      </left>
      <right style="thin">
        <color rgb="FFC3DCC2"/>
      </right>
      <top style="thin">
        <color rgb="FFC3DCC2"/>
      </top>
      <bottom style="thin">
        <color rgb="FFC3DCC2"/>
      </bottom>
      <diagonal/>
    </border>
    <border diagonalUp="false" diagonalDown="false">
      <left style="thin">
        <color rgb="FFDCE3D5"/>
      </left>
      <right style="thin">
        <color rgb="FFDCE3D5"/>
      </right>
      <top style="thin">
        <color rgb="FFDCE3D5"/>
      </top>
      <bottom style="thin">
        <color rgb="FFDCE3D5"/>
      </bottom>
      <diagonal/>
    </border>
    <border diagonalUp="false" diagonalDown="false">
      <left style="thin">
        <color rgb="FFEBCFC9"/>
      </left>
      <right style="thin">
        <color rgb="FFEBCFC9"/>
      </right>
      <top style="thin">
        <color rgb="FFEBCFC9"/>
      </top>
      <bottom style="thin">
        <color rgb="FFEBCF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CC2"/>
      <rgbColor rgb="FF767676"/>
      <rgbColor rgb="FF9999FF"/>
      <rgbColor rgb="FFB04A3C"/>
      <rgbColor rgb="FFFAFBF8"/>
      <rgbColor rgb="FFEBF3EA"/>
      <rgbColor rgb="FF660066"/>
      <rgbColor rgb="FFC8794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1"/>
      <rgbColor rgb="FFDCE3D5"/>
      <rgbColor rgb="FFFBEDEB"/>
      <rgbColor rgb="FF99CCFF"/>
      <rgbColor rgb="FFFF99CC"/>
      <rgbColor rgb="FFCC99FF"/>
      <rgbColor rgb="FFEBCFC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C5F2D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2"/>
    <col collapsed="false" customWidth="true" hidden="false" outlineLevel="0" max="13" min="2" style="0" width="11.4"/>
    <col collapsed="false" customWidth="true" hidden="false" outlineLevel="0" max="14" min="14" style="0" width="2.2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customFormat="false" ht="25.5" hidden="false" customHeight="true" outlineLevel="0" collapsed="false">
      <c r="B5" s="3" t="s">
        <v>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customFormat="false" ht="15" hidden="false" customHeight="true" outlineLevel="0" collapsed="false">
      <c r="B6" s="2" t="s">
        <v>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customFormat="false" ht="16.5" hidden="false" customHeight="true" outlineLevel="0" collapsed="false">
      <c r="B7" s="4" t="s">
        <v>4</v>
      </c>
      <c r="C7" s="4"/>
      <c r="D7" s="4"/>
      <c r="E7" s="4" t="s">
        <v>5</v>
      </c>
      <c r="F7" s="4"/>
      <c r="G7" s="4"/>
      <c r="H7" s="4" t="s">
        <v>6</v>
      </c>
      <c r="I7" s="4"/>
      <c r="J7" s="4"/>
      <c r="K7" s="5" t="s">
        <v>7</v>
      </c>
      <c r="L7" s="5"/>
      <c r="M7" s="5"/>
    </row>
    <row r="8" customFormat="false" ht="33.75" hidden="false" customHeight="true" outlineLevel="0" collapsed="false">
      <c r="B8" s="6" t="n">
        <f aca="false">SUM(増減明細!$C$4:$C$23)</f>
        <v>14303</v>
      </c>
      <c r="C8" s="6"/>
      <c r="D8" s="6"/>
      <c r="E8" s="7" t="n">
        <f aca="false">SUMIF(増減明細!$A$4:$A$23,"コーデ+TREEBATON",増減明細!$C$4:$C$23)</f>
        <v>13841</v>
      </c>
      <c r="F8" s="7"/>
      <c r="G8" s="7"/>
      <c r="H8" s="7" t="n">
        <f aca="false">SUMIF(増減明細!$A$4:$A$23,"建築",増減明細!$C$4:$C$23)</f>
        <v>462</v>
      </c>
      <c r="I8" s="7"/>
      <c r="J8" s="7"/>
      <c r="K8" s="8" t="n">
        <f aca="false">20</f>
        <v>20</v>
      </c>
      <c r="L8" s="8"/>
      <c r="M8" s="8"/>
    </row>
    <row r="9" customFormat="false" ht="24" hidden="false" customHeight="true" outlineLevel="0" collapsed="false">
      <c r="B9" s="9" t="s">
        <v>8</v>
      </c>
      <c r="C9" s="9"/>
      <c r="D9" s="9"/>
      <c r="E9" s="9" t="s">
        <v>9</v>
      </c>
      <c r="F9" s="9"/>
      <c r="G9" s="9"/>
      <c r="H9" s="9" t="s">
        <v>10</v>
      </c>
      <c r="I9" s="9"/>
      <c r="J9" s="9"/>
      <c r="K9" s="10" t="s">
        <v>11</v>
      </c>
      <c r="L9" s="10"/>
      <c r="M9" s="10"/>
    </row>
    <row r="11" customFormat="false" ht="25.5" hidden="false" customHeight="true" outlineLevel="0" collapsed="false">
      <c r="B11" s="3" t="s">
        <v>12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customFormat="false" ht="15" hidden="false" customHeight="true" outlineLevel="0" collapsed="false">
      <c r="B12" s="11" t="s">
        <v>13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customFormat="false" ht="16.5" hidden="false" customHeight="true" outlineLevel="0" collapsed="false">
      <c r="B13" s="4" t="s">
        <v>14</v>
      </c>
      <c r="C13" s="4"/>
      <c r="D13" s="4"/>
      <c r="E13" s="5" t="s">
        <v>15</v>
      </c>
      <c r="F13" s="5"/>
      <c r="G13" s="5"/>
      <c r="H13" s="4" t="s">
        <v>16</v>
      </c>
      <c r="I13" s="4"/>
      <c r="J13" s="4"/>
      <c r="K13" s="5" t="s">
        <v>17</v>
      </c>
      <c r="L13" s="5"/>
      <c r="M13" s="5"/>
    </row>
    <row r="14" customFormat="false" ht="33.75" hidden="false" customHeight="true" outlineLevel="0" collapsed="false">
      <c r="B14" s="6" t="n">
        <f aca="false">SUMIF(増減明細!$D$4:$D$23,"確度UP",増減明細!$C$4:$C$23)</f>
        <v>11696</v>
      </c>
      <c r="C14" s="6"/>
      <c r="D14" s="6"/>
      <c r="E14" s="12" t="n">
        <f aca="false">SUMIF(増減明細!$D$4:$D$23,"新規作成",増減明細!$C$4:$C$23)</f>
        <v>2391</v>
      </c>
      <c r="F14" s="12"/>
      <c r="G14" s="12"/>
      <c r="H14" s="7" t="n">
        <f aca="false">SUMIF(増減明細!$D$4:$D$23,"失注から復活",増減明細!$C$4:$C$23)</f>
        <v>220</v>
      </c>
      <c r="I14" s="7"/>
      <c r="J14" s="7"/>
      <c r="K14" s="13" t="n">
        <f aca="false">SUMIF(増減明細!$D$4:$D$23,"増額",増減明細!$C$4:$C$23)+SUMIF(増減明細!$D$4:$D$23,"減額",増減明細!$C$4:$C$23)</f>
        <v>-4</v>
      </c>
      <c r="L14" s="13"/>
      <c r="M14" s="13"/>
    </row>
    <row r="15" customFormat="false" ht="24" hidden="false" customHeight="true" outlineLevel="0" collapsed="false">
      <c r="B15" s="9" t="str">
        <f aca="false">COUNTIF(増減明細!$D$4:$D$23,"確度UP")&amp;"件。増加の大半がここ"</f>
        <v>5件。増加の大半がここ</v>
      </c>
      <c r="C15" s="9"/>
      <c r="D15" s="9"/>
      <c r="E15" s="10" t="str">
        <f aca="false">COUNTIF(増減明細!$D$4:$D$23,"新規作成")&amp;"件がAB玉に乗った"</f>
        <v>12件がAB玉に乗った</v>
      </c>
      <c r="F15" s="10"/>
      <c r="G15" s="10"/>
      <c r="H15" s="9" t="s">
        <v>18</v>
      </c>
      <c r="I15" s="9"/>
      <c r="J15" s="9"/>
      <c r="K15" s="10" t="s">
        <v>19</v>
      </c>
      <c r="L15" s="10"/>
      <c r="M15" s="10"/>
    </row>
    <row r="17" customFormat="false" ht="21.75" hidden="false" customHeight="true" outlineLevel="0" collapsed="false">
      <c r="B17" s="14" t="s">
        <v>20</v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</row>
    <row r="19" customFormat="false" ht="25.5" hidden="false" customHeight="true" outlineLevel="0" collapsed="false">
      <c r="B19" s="3" t="s">
        <v>21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customFormat="false" ht="15" hidden="false" customHeight="true" outlineLevel="0" collapsed="false">
      <c r="B20" s="11" t="s">
        <v>22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customFormat="false" ht="16.5" hidden="false" customHeight="true" outlineLevel="0" collapsed="false">
      <c r="B21" s="4" t="s">
        <v>23</v>
      </c>
      <c r="C21" s="4"/>
      <c r="D21" s="4"/>
      <c r="E21" s="5" t="s">
        <v>15</v>
      </c>
      <c r="F21" s="5"/>
      <c r="G21" s="5"/>
      <c r="H21" s="15" t="s">
        <v>24</v>
      </c>
      <c r="I21" s="15"/>
      <c r="J21" s="15"/>
      <c r="K21" s="15" t="s">
        <v>25</v>
      </c>
      <c r="L21" s="15"/>
      <c r="M21" s="15"/>
    </row>
    <row r="22" customFormat="false" ht="33.75" hidden="false" customHeight="true" outlineLevel="0" collapsed="false">
      <c r="B22" s="16" t="n">
        <f aca="false">SUM(成約明細!$C$4:$C$16)</f>
        <v>14382</v>
      </c>
      <c r="C22" s="16"/>
      <c r="D22" s="16"/>
      <c r="E22" s="17" t="n">
        <f aca="false">SUM(新規作成明細!$C$4:$C$41)</f>
        <v>9345</v>
      </c>
      <c r="F22" s="17"/>
      <c r="G22" s="17"/>
      <c r="H22" s="18" t="n">
        <f aca="false">-SUM(失注明細!$C$4:$C$12)</f>
        <v>-5597</v>
      </c>
      <c r="I22" s="18"/>
      <c r="J22" s="18"/>
      <c r="K22" s="19" t="n">
        <f aca="false">COUNTIF(新規作成明細!$G$4:$G$41,"●")</f>
        <v>18</v>
      </c>
      <c r="L22" s="19"/>
      <c r="M22" s="19"/>
    </row>
    <row r="23" customFormat="false" ht="24" hidden="false" customHeight="true" outlineLevel="0" collapsed="false">
      <c r="B23" s="9" t="str">
        <f aca="false">13&amp;"件。『成約明細』シート"</f>
        <v>13件。『成約明細』シート</v>
      </c>
      <c r="C23" s="9"/>
      <c r="D23" s="9"/>
      <c r="E23" s="10" t="str">
        <f aca="false">38&amp;"件。『新規作成明細』シート"</f>
        <v>38件。『新規作成明細』シート</v>
      </c>
      <c r="F23" s="10"/>
      <c r="G23" s="10"/>
      <c r="H23" s="20" t="str">
        <f aca="false">9&amp;"件。すべて確度C・DのためAB玉に影響なし"</f>
        <v>9件。すべて確度C・DのためAB玉に影響なし</v>
      </c>
      <c r="I23" s="20"/>
      <c r="J23" s="20"/>
      <c r="K23" s="20" t="str">
        <f aca="false">"件。新規"&amp;38&amp;"件の"&amp;TEXT(COUNTIF(新規作成明細!$G$4:$G$41,"●")/38,"0.0%")</f>
        <v>件。新規38件の47.4%</v>
      </c>
      <c r="L23" s="20"/>
      <c r="M23" s="20"/>
    </row>
    <row r="25" customFormat="false" ht="25.5" hidden="false" customHeight="true" outlineLevel="0" collapsed="false">
      <c r="B25" s="3" t="s">
        <v>26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customFormat="false" ht="15" hidden="false" customHeight="true" outlineLevel="0" collapsed="false">
      <c r="B26" s="11" t="s">
        <v>27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customFormat="false" ht="16.5" hidden="false" customHeight="true" outlineLevel="0" collapsed="false">
      <c r="B27" s="5" t="s">
        <v>28</v>
      </c>
      <c r="C27" s="5"/>
      <c r="D27" s="5"/>
      <c r="E27" s="15" t="s">
        <v>29</v>
      </c>
      <c r="F27" s="15"/>
      <c r="G27" s="15"/>
      <c r="H27" s="5" t="s">
        <v>30</v>
      </c>
      <c r="I27" s="5"/>
      <c r="J27" s="5"/>
      <c r="K27" s="15" t="s">
        <v>31</v>
      </c>
      <c r="L27" s="15"/>
      <c r="M27" s="15"/>
    </row>
    <row r="28" customFormat="false" ht="33.75" hidden="false" customHeight="true" outlineLevel="0" collapsed="false">
      <c r="B28" s="21" t="n">
        <f aca="false">SUMIF(増減明細!$B$4:$B$23,"*認証桧柾目材*",増減明細!$C$4:$C$23)</f>
        <v>10616</v>
      </c>
      <c r="C28" s="21"/>
      <c r="D28" s="21"/>
      <c r="E28" s="22" t="n">
        <f aca="false">SUMIF(増減明細!$B$4:$B$23,"*認証桧柾目材*",増減明細!$C$4:$C$23)/SUMIF(増減明細!$D$4:$D$23,"確度UP",増減明細!$C$4:$C$23)</f>
        <v>0.90766073871409</v>
      </c>
      <c r="F28" s="22"/>
      <c r="G28" s="22"/>
      <c r="H28" s="23" t="n">
        <f aca="false">SUMIF(成約明細!$B$4:$B$16,"*千本松牧場*",成約明細!$C$4:$C$16)</f>
        <v>6334</v>
      </c>
      <c r="I28" s="23"/>
      <c r="J28" s="23"/>
      <c r="K28" s="22" t="n">
        <f aca="false">SUMIF(成約明細!$B$4:$B$16,"*千本松牧場*",成約明細!$C$4:$C$16)/SUM(成約明細!$C$4:$C$16)</f>
        <v>0.440411625643165</v>
      </c>
      <c r="L28" s="22"/>
      <c r="M28" s="22"/>
    </row>
    <row r="29" customFormat="false" ht="24" hidden="false" customHeight="true" outlineLevel="0" collapsed="false">
      <c r="B29" s="24" t="s">
        <v>32</v>
      </c>
      <c r="C29" s="24"/>
      <c r="D29" s="24"/>
      <c r="E29" s="25" t="s">
        <v>33</v>
      </c>
      <c r="F29" s="25"/>
      <c r="G29" s="25"/>
      <c r="H29" s="10" t="s">
        <v>34</v>
      </c>
      <c r="I29" s="10"/>
      <c r="J29" s="10"/>
      <c r="K29" s="20" t="s">
        <v>35</v>
      </c>
      <c r="L29" s="20"/>
      <c r="M29" s="20"/>
    </row>
    <row r="31" customFormat="false" ht="21.75" hidden="false" customHeight="true" outlineLevel="0" collapsed="false">
      <c r="B31" s="26" t="s">
        <v>36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</row>
    <row r="32" customFormat="false" ht="21.75" hidden="false" customHeight="true" outlineLevel="0" collapsed="false">
      <c r="B32" s="26" t="s">
        <v>37</v>
      </c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</row>
    <row r="34" customFormat="false" ht="25.5" hidden="false" customHeight="true" outlineLevel="0" collapsed="false">
      <c r="B34" s="3" t="s">
        <v>38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customFormat="false" ht="15" hidden="false" customHeight="true" outlineLevel="0" collapsed="false">
      <c r="B35" s="11" t="s">
        <v>39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customFormat="false" ht="16.5" hidden="false" customHeight="true" outlineLevel="0" collapsed="false">
      <c r="B36" s="27" t="s">
        <v>40</v>
      </c>
      <c r="C36" s="27"/>
      <c r="D36" s="27"/>
      <c r="E36" s="27" t="s">
        <v>41</v>
      </c>
      <c r="F36" s="27"/>
      <c r="G36" s="27"/>
      <c r="H36" s="27" t="s">
        <v>42</v>
      </c>
      <c r="I36" s="27"/>
      <c r="J36" s="27"/>
      <c r="K36" s="27" t="s">
        <v>43</v>
      </c>
      <c r="L36" s="27"/>
      <c r="M36" s="27"/>
    </row>
    <row r="37" customFormat="false" ht="19.5" hidden="false" customHeight="true" outlineLevel="0" collapsed="false">
      <c r="B37" s="28" t="s">
        <v>44</v>
      </c>
      <c r="C37" s="28"/>
      <c r="D37" s="28"/>
      <c r="E37" s="28" t="s">
        <v>45</v>
      </c>
      <c r="F37" s="28"/>
      <c r="G37" s="28"/>
      <c r="H37" s="28" t="s">
        <v>46</v>
      </c>
      <c r="I37" s="28"/>
      <c r="J37" s="28"/>
      <c r="K37" s="28" t="s">
        <v>47</v>
      </c>
      <c r="L37" s="28"/>
      <c r="M37" s="28"/>
    </row>
    <row r="38" customFormat="false" ht="24" hidden="false" customHeight="true" outlineLevel="0" collapsed="false"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</row>
  </sheetData>
  <mergeCells count="71">
    <mergeCell ref="B2:M2"/>
    <mergeCell ref="B3:M3"/>
    <mergeCell ref="B5:M5"/>
    <mergeCell ref="B6:M6"/>
    <mergeCell ref="B7:D7"/>
    <mergeCell ref="E7:G7"/>
    <mergeCell ref="H7:J7"/>
    <mergeCell ref="K7:M7"/>
    <mergeCell ref="B8:D8"/>
    <mergeCell ref="E8:G8"/>
    <mergeCell ref="H8:J8"/>
    <mergeCell ref="K8:M8"/>
    <mergeCell ref="B9:D9"/>
    <mergeCell ref="E9:G9"/>
    <mergeCell ref="H9:J9"/>
    <mergeCell ref="K9:M9"/>
    <mergeCell ref="B11:M11"/>
    <mergeCell ref="B12:M12"/>
    <mergeCell ref="B13:D13"/>
    <mergeCell ref="E13:G13"/>
    <mergeCell ref="H13:J13"/>
    <mergeCell ref="K13:M13"/>
    <mergeCell ref="B14:D14"/>
    <mergeCell ref="E14:G14"/>
    <mergeCell ref="H14:J14"/>
    <mergeCell ref="K14:M14"/>
    <mergeCell ref="B15:D15"/>
    <mergeCell ref="E15:G15"/>
    <mergeCell ref="H15:J15"/>
    <mergeCell ref="K15:M15"/>
    <mergeCell ref="B17:M17"/>
    <mergeCell ref="B19:M19"/>
    <mergeCell ref="B20:M20"/>
    <mergeCell ref="B21:D21"/>
    <mergeCell ref="E21:G21"/>
    <mergeCell ref="H21:J21"/>
    <mergeCell ref="K21:M21"/>
    <mergeCell ref="B22:D22"/>
    <mergeCell ref="E22:G22"/>
    <mergeCell ref="H22:J22"/>
    <mergeCell ref="K22:M22"/>
    <mergeCell ref="B23:D23"/>
    <mergeCell ref="E23:G23"/>
    <mergeCell ref="H23:J23"/>
    <mergeCell ref="K23:M23"/>
    <mergeCell ref="B25:M25"/>
    <mergeCell ref="B26:M26"/>
    <mergeCell ref="B27:D27"/>
    <mergeCell ref="E27:G27"/>
    <mergeCell ref="H27:J27"/>
    <mergeCell ref="K27:M27"/>
    <mergeCell ref="B28:D28"/>
    <mergeCell ref="E28:G28"/>
    <mergeCell ref="H28:J28"/>
    <mergeCell ref="K28:M28"/>
    <mergeCell ref="B29:D29"/>
    <mergeCell ref="E29:G29"/>
    <mergeCell ref="H29:J29"/>
    <mergeCell ref="K29:M29"/>
    <mergeCell ref="B31:M31"/>
    <mergeCell ref="B32:M32"/>
    <mergeCell ref="B34:M34"/>
    <mergeCell ref="B35:M35"/>
    <mergeCell ref="B36:D36"/>
    <mergeCell ref="E36:G36"/>
    <mergeCell ref="H36:J36"/>
    <mergeCell ref="K36:M36"/>
    <mergeCell ref="B37:D38"/>
    <mergeCell ref="E37:G38"/>
    <mergeCell ref="H37:J38"/>
    <mergeCell ref="K37:M38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7" min="6" style="0" width="10"/>
    <col collapsed="false" customWidth="true" hidden="false" outlineLevel="0" max="10" min="8" style="0" width="12"/>
  </cols>
  <sheetData>
    <row r="1" customFormat="false" ht="17.15" hidden="false" customHeight="false" outlineLevel="0" collapsed="false">
      <c r="A1" s="29" t="s">
        <v>48</v>
      </c>
    </row>
    <row r="2" customFormat="false" ht="15" hidden="false" customHeight="false" outlineLevel="0" collapsed="false">
      <c r="A2" s="30" t="s">
        <v>49</v>
      </c>
    </row>
    <row r="3" customFormat="false" ht="15" hidden="false" customHeight="false" outlineLevel="0" collapsed="false">
      <c r="A3" s="31" t="s">
        <v>50</v>
      </c>
      <c r="B3" s="31" t="s">
        <v>51</v>
      </c>
      <c r="C3" s="32" t="s">
        <v>52</v>
      </c>
      <c r="D3" s="31" t="s">
        <v>53</v>
      </c>
      <c r="E3" s="31" t="s">
        <v>54</v>
      </c>
      <c r="F3" s="32" t="s">
        <v>55</v>
      </c>
      <c r="G3" s="32" t="s">
        <v>56</v>
      </c>
      <c r="H3" s="32" t="s">
        <v>57</v>
      </c>
      <c r="I3" s="32" t="s">
        <v>58</v>
      </c>
      <c r="J3" s="31" t="s">
        <v>59</v>
      </c>
    </row>
    <row r="4" customFormat="false" ht="15" hidden="false" customHeight="false" outlineLevel="0" collapsed="false">
      <c r="A4" s="33" t="s">
        <v>60</v>
      </c>
      <c r="B4" s="33" t="s">
        <v>61</v>
      </c>
      <c r="C4" s="34" t="n">
        <v>7616</v>
      </c>
      <c r="D4" s="33" t="s">
        <v>62</v>
      </c>
      <c r="E4" s="33" t="s">
        <v>63</v>
      </c>
      <c r="F4" s="35" t="s">
        <v>64</v>
      </c>
      <c r="G4" s="35" t="s">
        <v>65</v>
      </c>
      <c r="H4" s="36" t="n">
        <v>1000</v>
      </c>
      <c r="I4" s="36" t="n">
        <v>7616</v>
      </c>
      <c r="J4" s="35" t="s">
        <v>66</v>
      </c>
    </row>
    <row r="5" customFormat="false" ht="15" hidden="false" customHeight="false" outlineLevel="0" collapsed="false">
      <c r="A5" s="37" t="s">
        <v>60</v>
      </c>
      <c r="B5" s="37" t="s">
        <v>67</v>
      </c>
      <c r="C5" s="38" t="n">
        <v>3000</v>
      </c>
      <c r="D5" s="37" t="s">
        <v>62</v>
      </c>
      <c r="E5" s="37" t="s">
        <v>68</v>
      </c>
      <c r="F5" s="39" t="s">
        <v>64</v>
      </c>
      <c r="G5" s="39" t="s">
        <v>69</v>
      </c>
      <c r="H5" s="40" t="n">
        <v>3352</v>
      </c>
      <c r="I5" s="40" t="n">
        <v>3000</v>
      </c>
      <c r="J5" s="39" t="s">
        <v>70</v>
      </c>
    </row>
    <row r="6" customFormat="false" ht="15" hidden="false" customHeight="false" outlineLevel="0" collapsed="false">
      <c r="A6" s="33" t="s">
        <v>60</v>
      </c>
      <c r="B6" s="35" t="s">
        <v>71</v>
      </c>
      <c r="C6" s="34" t="n">
        <v>1128</v>
      </c>
      <c r="D6" s="33" t="s">
        <v>15</v>
      </c>
      <c r="E6" s="33" t="s">
        <v>72</v>
      </c>
      <c r="F6" s="33" t="s">
        <v>73</v>
      </c>
      <c r="G6" s="35" t="s">
        <v>65</v>
      </c>
      <c r="H6" s="41" t="s">
        <v>73</v>
      </c>
      <c r="I6" s="41" t="n">
        <v>1128</v>
      </c>
      <c r="J6" s="35" t="s">
        <v>74</v>
      </c>
    </row>
    <row r="7" customFormat="false" ht="15" hidden="false" customHeight="false" outlineLevel="0" collapsed="false">
      <c r="A7" s="37" t="s">
        <v>60</v>
      </c>
      <c r="B7" s="37" t="s">
        <v>75</v>
      </c>
      <c r="C7" s="38" t="n">
        <v>500</v>
      </c>
      <c r="D7" s="37" t="s">
        <v>62</v>
      </c>
      <c r="E7" s="37" t="s">
        <v>76</v>
      </c>
      <c r="F7" s="39" t="s">
        <v>64</v>
      </c>
      <c r="G7" s="39" t="s">
        <v>65</v>
      </c>
      <c r="H7" s="40" t="n">
        <v>500</v>
      </c>
      <c r="I7" s="40" t="n">
        <v>500</v>
      </c>
      <c r="J7" s="39" t="s">
        <v>77</v>
      </c>
    </row>
    <row r="8" customFormat="false" ht="15" hidden="false" customHeight="false" outlineLevel="0" collapsed="false">
      <c r="A8" s="33" t="s">
        <v>6</v>
      </c>
      <c r="B8" s="33" t="s">
        <v>78</v>
      </c>
      <c r="C8" s="34" t="n">
        <v>462</v>
      </c>
      <c r="D8" s="33" t="s">
        <v>15</v>
      </c>
      <c r="E8" s="33" t="s">
        <v>72</v>
      </c>
      <c r="F8" s="33" t="s">
        <v>73</v>
      </c>
      <c r="G8" s="35" t="s">
        <v>69</v>
      </c>
      <c r="H8" s="41" t="s">
        <v>73</v>
      </c>
      <c r="I8" s="41" t="n">
        <v>462</v>
      </c>
      <c r="J8" s="35" t="s">
        <v>79</v>
      </c>
    </row>
    <row r="9" customFormat="false" ht="15" hidden="false" customHeight="false" outlineLevel="0" collapsed="false">
      <c r="A9" s="37" t="s">
        <v>60</v>
      </c>
      <c r="B9" s="39" t="s">
        <v>80</v>
      </c>
      <c r="C9" s="38" t="n">
        <v>430</v>
      </c>
      <c r="D9" s="37" t="s">
        <v>62</v>
      </c>
      <c r="E9" s="37" t="s">
        <v>81</v>
      </c>
      <c r="F9" s="39" t="s">
        <v>64</v>
      </c>
      <c r="G9" s="39" t="s">
        <v>69</v>
      </c>
      <c r="H9" s="40" t="n">
        <v>300</v>
      </c>
      <c r="I9" s="40" t="n">
        <v>430</v>
      </c>
      <c r="J9" s="39" t="s">
        <v>82</v>
      </c>
    </row>
    <row r="10" customFormat="false" ht="15" hidden="false" customHeight="false" outlineLevel="0" collapsed="false">
      <c r="A10" s="33" t="s">
        <v>60</v>
      </c>
      <c r="B10" s="33" t="s">
        <v>83</v>
      </c>
      <c r="C10" s="34" t="n">
        <v>220</v>
      </c>
      <c r="D10" s="33" t="s">
        <v>16</v>
      </c>
      <c r="E10" s="33" t="s">
        <v>84</v>
      </c>
      <c r="F10" s="35" t="s">
        <v>85</v>
      </c>
      <c r="G10" s="35" t="s">
        <v>65</v>
      </c>
      <c r="H10" s="41" t="n">
        <v>400</v>
      </c>
      <c r="I10" s="41" t="n">
        <v>220</v>
      </c>
      <c r="J10" s="35" t="s">
        <v>86</v>
      </c>
    </row>
    <row r="11" customFormat="false" ht="15" hidden="false" customHeight="false" outlineLevel="0" collapsed="false">
      <c r="A11" s="37" t="s">
        <v>60</v>
      </c>
      <c r="B11" s="37" t="s">
        <v>87</v>
      </c>
      <c r="C11" s="38" t="n">
        <v>173</v>
      </c>
      <c r="D11" s="37" t="s">
        <v>15</v>
      </c>
      <c r="E11" s="37" t="s">
        <v>72</v>
      </c>
      <c r="F11" s="37" t="s">
        <v>73</v>
      </c>
      <c r="G11" s="39" t="s">
        <v>69</v>
      </c>
      <c r="H11" s="42" t="s">
        <v>73</v>
      </c>
      <c r="I11" s="42" t="n">
        <v>173</v>
      </c>
      <c r="J11" s="39" t="s">
        <v>88</v>
      </c>
    </row>
    <row r="12" customFormat="false" ht="15" hidden="false" customHeight="false" outlineLevel="0" collapsed="false">
      <c r="A12" s="33" t="s">
        <v>60</v>
      </c>
      <c r="B12" s="33" t="s">
        <v>89</v>
      </c>
      <c r="C12" s="34" t="n">
        <v>150</v>
      </c>
      <c r="D12" s="33" t="s">
        <v>62</v>
      </c>
      <c r="E12" s="33" t="s">
        <v>63</v>
      </c>
      <c r="F12" s="35" t="s">
        <v>64</v>
      </c>
      <c r="G12" s="35" t="s">
        <v>65</v>
      </c>
      <c r="H12" s="41" t="n">
        <v>0</v>
      </c>
      <c r="I12" s="41" t="n">
        <v>150</v>
      </c>
      <c r="J12" s="35" t="s">
        <v>77</v>
      </c>
    </row>
    <row r="13" customFormat="false" ht="15" hidden="false" customHeight="false" outlineLevel="0" collapsed="false">
      <c r="A13" s="37" t="s">
        <v>60</v>
      </c>
      <c r="B13" s="37" t="s">
        <v>90</v>
      </c>
      <c r="C13" s="38" t="n">
        <v>149</v>
      </c>
      <c r="D13" s="37" t="s">
        <v>15</v>
      </c>
      <c r="E13" s="37" t="s">
        <v>72</v>
      </c>
      <c r="F13" s="37" t="s">
        <v>73</v>
      </c>
      <c r="G13" s="39" t="s">
        <v>69</v>
      </c>
      <c r="H13" s="42" t="s">
        <v>73</v>
      </c>
      <c r="I13" s="42" t="n">
        <v>149</v>
      </c>
      <c r="J13" s="39" t="s">
        <v>88</v>
      </c>
    </row>
    <row r="14" customFormat="false" ht="15" hidden="false" customHeight="false" outlineLevel="0" collapsed="false">
      <c r="A14" s="33" t="s">
        <v>60</v>
      </c>
      <c r="B14" s="33" t="s">
        <v>91</v>
      </c>
      <c r="C14" s="34" t="n">
        <v>120</v>
      </c>
      <c r="D14" s="33" t="s">
        <v>15</v>
      </c>
      <c r="E14" s="33" t="s">
        <v>72</v>
      </c>
      <c r="F14" s="33" t="s">
        <v>73</v>
      </c>
      <c r="G14" s="35" t="s">
        <v>69</v>
      </c>
      <c r="H14" s="41" t="s">
        <v>73</v>
      </c>
      <c r="I14" s="41" t="n">
        <v>120</v>
      </c>
      <c r="J14" s="35" t="s">
        <v>92</v>
      </c>
    </row>
    <row r="15" customFormat="false" ht="15" hidden="false" customHeight="false" outlineLevel="0" collapsed="false">
      <c r="A15" s="37" t="s">
        <v>60</v>
      </c>
      <c r="B15" s="37" t="s">
        <v>93</v>
      </c>
      <c r="C15" s="38" t="n">
        <v>98</v>
      </c>
      <c r="D15" s="37" t="s">
        <v>15</v>
      </c>
      <c r="E15" s="37" t="s">
        <v>72</v>
      </c>
      <c r="F15" s="37" t="s">
        <v>73</v>
      </c>
      <c r="G15" s="39" t="s">
        <v>69</v>
      </c>
      <c r="H15" s="42" t="s">
        <v>73</v>
      </c>
      <c r="I15" s="42" t="n">
        <v>98</v>
      </c>
      <c r="J15" s="39" t="s">
        <v>77</v>
      </c>
    </row>
    <row r="16" customFormat="false" ht="15" hidden="false" customHeight="false" outlineLevel="0" collapsed="false">
      <c r="A16" s="33" t="s">
        <v>60</v>
      </c>
      <c r="B16" s="33" t="s">
        <v>94</v>
      </c>
      <c r="C16" s="34" t="n">
        <v>62</v>
      </c>
      <c r="D16" s="33" t="s">
        <v>15</v>
      </c>
      <c r="E16" s="33" t="s">
        <v>72</v>
      </c>
      <c r="F16" s="33" t="s">
        <v>73</v>
      </c>
      <c r="G16" s="35" t="s">
        <v>69</v>
      </c>
      <c r="H16" s="41" t="s">
        <v>73</v>
      </c>
      <c r="I16" s="41" t="n">
        <v>62</v>
      </c>
      <c r="J16" s="35" t="s">
        <v>95</v>
      </c>
    </row>
    <row r="17" customFormat="false" ht="15" hidden="false" customHeight="false" outlineLevel="0" collapsed="false">
      <c r="A17" s="37" t="s">
        <v>60</v>
      </c>
      <c r="B17" s="37" t="s">
        <v>96</v>
      </c>
      <c r="C17" s="38" t="n">
        <v>62</v>
      </c>
      <c r="D17" s="37" t="s">
        <v>15</v>
      </c>
      <c r="E17" s="37" t="s">
        <v>72</v>
      </c>
      <c r="F17" s="37" t="s">
        <v>73</v>
      </c>
      <c r="G17" s="39" t="s">
        <v>69</v>
      </c>
      <c r="H17" s="42" t="s">
        <v>73</v>
      </c>
      <c r="I17" s="42" t="n">
        <v>62</v>
      </c>
      <c r="J17" s="39" t="s">
        <v>97</v>
      </c>
    </row>
    <row r="18" customFormat="false" ht="15" hidden="false" customHeight="false" outlineLevel="0" collapsed="false">
      <c r="A18" s="33" t="s">
        <v>60</v>
      </c>
      <c r="B18" s="33" t="s">
        <v>98</v>
      </c>
      <c r="C18" s="34" t="n">
        <v>50</v>
      </c>
      <c r="D18" s="33" t="s">
        <v>15</v>
      </c>
      <c r="E18" s="33" t="s">
        <v>72</v>
      </c>
      <c r="F18" s="33" t="s">
        <v>73</v>
      </c>
      <c r="G18" s="35" t="s">
        <v>69</v>
      </c>
      <c r="H18" s="41" t="s">
        <v>73</v>
      </c>
      <c r="I18" s="41" t="n">
        <v>50</v>
      </c>
      <c r="J18" s="35" t="s">
        <v>99</v>
      </c>
    </row>
    <row r="19" customFormat="false" ht="15" hidden="false" customHeight="false" outlineLevel="0" collapsed="false">
      <c r="A19" s="37" t="s">
        <v>60</v>
      </c>
      <c r="B19" s="37" t="s">
        <v>100</v>
      </c>
      <c r="C19" s="38" t="n">
        <v>46</v>
      </c>
      <c r="D19" s="37" t="s">
        <v>101</v>
      </c>
      <c r="E19" s="37" t="s">
        <v>101</v>
      </c>
      <c r="F19" s="39" t="s">
        <v>69</v>
      </c>
      <c r="G19" s="39" t="s">
        <v>69</v>
      </c>
      <c r="H19" s="42" t="n">
        <v>1570</v>
      </c>
      <c r="I19" s="42" t="n">
        <v>1616</v>
      </c>
      <c r="J19" s="39" t="s">
        <v>102</v>
      </c>
    </row>
    <row r="20" customFormat="false" ht="15" hidden="false" customHeight="false" outlineLevel="0" collapsed="false">
      <c r="A20" s="33" t="s">
        <v>60</v>
      </c>
      <c r="B20" s="33" t="s">
        <v>103</v>
      </c>
      <c r="C20" s="34" t="n">
        <v>38</v>
      </c>
      <c r="D20" s="33" t="s">
        <v>15</v>
      </c>
      <c r="E20" s="33" t="s">
        <v>72</v>
      </c>
      <c r="F20" s="33" t="s">
        <v>73</v>
      </c>
      <c r="G20" s="35" t="s">
        <v>69</v>
      </c>
      <c r="H20" s="41" t="s">
        <v>73</v>
      </c>
      <c r="I20" s="41" t="n">
        <v>38</v>
      </c>
      <c r="J20" s="35" t="s">
        <v>104</v>
      </c>
    </row>
    <row r="21" customFormat="false" ht="15" hidden="false" customHeight="false" outlineLevel="0" collapsed="false">
      <c r="A21" s="37" t="s">
        <v>60</v>
      </c>
      <c r="B21" s="39" t="s">
        <v>105</v>
      </c>
      <c r="C21" s="38" t="n">
        <v>37</v>
      </c>
      <c r="D21" s="37" t="s">
        <v>15</v>
      </c>
      <c r="E21" s="37" t="s">
        <v>72</v>
      </c>
      <c r="F21" s="37" t="s">
        <v>73</v>
      </c>
      <c r="G21" s="39" t="s">
        <v>69</v>
      </c>
      <c r="H21" s="42" t="s">
        <v>73</v>
      </c>
      <c r="I21" s="42" t="n">
        <v>37</v>
      </c>
      <c r="J21" s="39" t="s">
        <v>92</v>
      </c>
    </row>
    <row r="22" customFormat="false" ht="15" hidden="false" customHeight="false" outlineLevel="0" collapsed="false">
      <c r="A22" s="33" t="s">
        <v>60</v>
      </c>
      <c r="B22" s="33" t="s">
        <v>106</v>
      </c>
      <c r="C22" s="34" t="n">
        <v>12</v>
      </c>
      <c r="D22" s="33" t="s">
        <v>15</v>
      </c>
      <c r="E22" s="33" t="s">
        <v>72</v>
      </c>
      <c r="F22" s="33" t="s">
        <v>73</v>
      </c>
      <c r="G22" s="35" t="s">
        <v>69</v>
      </c>
      <c r="H22" s="41" t="s">
        <v>73</v>
      </c>
      <c r="I22" s="41" t="n">
        <v>12</v>
      </c>
      <c r="J22" s="35" t="s">
        <v>107</v>
      </c>
    </row>
    <row r="23" customFormat="false" ht="15" hidden="false" customHeight="false" outlineLevel="0" collapsed="false">
      <c r="A23" s="37" t="s">
        <v>60</v>
      </c>
      <c r="B23" s="39" t="s">
        <v>108</v>
      </c>
      <c r="C23" s="38" t="n">
        <v>-50</v>
      </c>
      <c r="D23" s="37" t="s">
        <v>109</v>
      </c>
      <c r="E23" s="37" t="s">
        <v>109</v>
      </c>
      <c r="F23" s="39" t="s">
        <v>65</v>
      </c>
      <c r="G23" s="39" t="s">
        <v>69</v>
      </c>
      <c r="H23" s="42" t="n">
        <v>2000</v>
      </c>
      <c r="I23" s="42" t="n">
        <v>1950</v>
      </c>
      <c r="J23" s="39" t="s">
        <v>110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29" t="s">
        <v>111</v>
      </c>
    </row>
    <row r="2" customFormat="false" ht="15" hidden="false" customHeight="false" outlineLevel="0" collapsed="false">
      <c r="A2" s="30" t="s">
        <v>112</v>
      </c>
    </row>
    <row r="3" customFormat="false" ht="15" hidden="false" customHeight="false" outlineLevel="0" collapsed="false">
      <c r="A3" s="31" t="s">
        <v>50</v>
      </c>
      <c r="B3" s="31" t="s">
        <v>51</v>
      </c>
      <c r="C3" s="31" t="s">
        <v>113</v>
      </c>
      <c r="D3" s="31" t="s">
        <v>114</v>
      </c>
      <c r="E3" s="31" t="s">
        <v>115</v>
      </c>
    </row>
    <row r="4" customFormat="false" ht="15" hidden="false" customHeight="false" outlineLevel="0" collapsed="false">
      <c r="A4" s="33" t="s">
        <v>60</v>
      </c>
      <c r="B4" s="33" t="s">
        <v>116</v>
      </c>
      <c r="C4" s="41" t="n">
        <v>3640</v>
      </c>
      <c r="D4" s="35" t="s">
        <v>117</v>
      </c>
      <c r="E4" s="35" t="s">
        <v>118</v>
      </c>
    </row>
    <row r="5" customFormat="false" ht="15" hidden="false" customHeight="false" outlineLevel="0" collapsed="false">
      <c r="A5" s="37" t="s">
        <v>60</v>
      </c>
      <c r="B5" s="37" t="s">
        <v>67</v>
      </c>
      <c r="C5" s="42" t="n">
        <v>3000</v>
      </c>
      <c r="D5" s="39" t="s">
        <v>117</v>
      </c>
      <c r="E5" s="39" t="s">
        <v>70</v>
      </c>
    </row>
    <row r="6" customFormat="false" ht="15" hidden="false" customHeight="false" outlineLevel="0" collapsed="false">
      <c r="A6" s="33" t="s">
        <v>60</v>
      </c>
      <c r="B6" s="35" t="s">
        <v>119</v>
      </c>
      <c r="C6" s="41" t="n">
        <v>3000</v>
      </c>
      <c r="D6" s="35" t="s">
        <v>120</v>
      </c>
      <c r="E6" s="35" t="s">
        <v>110</v>
      </c>
    </row>
    <row r="7" customFormat="false" ht="15" hidden="false" customHeight="false" outlineLevel="0" collapsed="false">
      <c r="A7" s="37" t="s">
        <v>60</v>
      </c>
      <c r="B7" s="39" t="s">
        <v>108</v>
      </c>
      <c r="C7" s="42" t="n">
        <v>1950</v>
      </c>
      <c r="D7" s="39" t="s">
        <v>120</v>
      </c>
      <c r="E7" s="39" t="s">
        <v>110</v>
      </c>
    </row>
    <row r="8" customFormat="false" ht="15" hidden="false" customHeight="false" outlineLevel="0" collapsed="false">
      <c r="A8" s="33" t="s">
        <v>60</v>
      </c>
      <c r="B8" s="33" t="s">
        <v>121</v>
      </c>
      <c r="C8" s="41" t="n">
        <v>1384</v>
      </c>
      <c r="D8" s="35" t="s">
        <v>120</v>
      </c>
      <c r="E8" s="35" t="s">
        <v>122</v>
      </c>
    </row>
    <row r="9" customFormat="false" ht="15" hidden="false" customHeight="false" outlineLevel="0" collapsed="false">
      <c r="A9" s="37" t="s">
        <v>6</v>
      </c>
      <c r="B9" s="39" t="s">
        <v>123</v>
      </c>
      <c r="C9" s="42" t="n">
        <v>535</v>
      </c>
      <c r="D9" s="39" t="s">
        <v>120</v>
      </c>
      <c r="E9" s="39" t="s">
        <v>95</v>
      </c>
    </row>
    <row r="10" customFormat="false" ht="15" hidden="false" customHeight="false" outlineLevel="0" collapsed="false">
      <c r="A10" s="33" t="s">
        <v>60</v>
      </c>
      <c r="B10" s="35" t="s">
        <v>80</v>
      </c>
      <c r="C10" s="41" t="n">
        <v>430</v>
      </c>
      <c r="D10" s="35" t="s">
        <v>117</v>
      </c>
      <c r="E10" s="35" t="s">
        <v>82</v>
      </c>
    </row>
    <row r="11" customFormat="false" ht="15" hidden="false" customHeight="false" outlineLevel="0" collapsed="false">
      <c r="A11" s="37" t="s">
        <v>60</v>
      </c>
      <c r="B11" s="37" t="s">
        <v>90</v>
      </c>
      <c r="C11" s="42" t="n">
        <v>149</v>
      </c>
      <c r="D11" s="39" t="s">
        <v>117</v>
      </c>
      <c r="E11" s="39" t="s">
        <v>88</v>
      </c>
    </row>
    <row r="12" customFormat="false" ht="15" hidden="false" customHeight="false" outlineLevel="0" collapsed="false">
      <c r="A12" s="33" t="s">
        <v>60</v>
      </c>
      <c r="B12" s="33" t="s">
        <v>91</v>
      </c>
      <c r="C12" s="41" t="n">
        <v>120</v>
      </c>
      <c r="D12" s="35" t="s">
        <v>117</v>
      </c>
      <c r="E12" s="35" t="s">
        <v>92</v>
      </c>
    </row>
    <row r="13" customFormat="false" ht="15" hidden="false" customHeight="false" outlineLevel="0" collapsed="false">
      <c r="A13" s="37" t="s">
        <v>60</v>
      </c>
      <c r="B13" s="37" t="s">
        <v>94</v>
      </c>
      <c r="C13" s="42" t="n">
        <v>62</v>
      </c>
      <c r="D13" s="39" t="s">
        <v>117</v>
      </c>
      <c r="E13" s="39" t="s">
        <v>95</v>
      </c>
    </row>
    <row r="14" customFormat="false" ht="15" hidden="false" customHeight="false" outlineLevel="0" collapsed="false">
      <c r="A14" s="33" t="s">
        <v>60</v>
      </c>
      <c r="B14" s="33" t="s">
        <v>96</v>
      </c>
      <c r="C14" s="41" t="n">
        <v>62</v>
      </c>
      <c r="D14" s="35" t="s">
        <v>117</v>
      </c>
      <c r="E14" s="35" t="s">
        <v>97</v>
      </c>
    </row>
    <row r="15" customFormat="false" ht="15" hidden="false" customHeight="false" outlineLevel="0" collapsed="false">
      <c r="A15" s="37" t="s">
        <v>60</v>
      </c>
      <c r="B15" s="37" t="s">
        <v>103</v>
      </c>
      <c r="C15" s="42" t="n">
        <v>38</v>
      </c>
      <c r="D15" s="39" t="s">
        <v>117</v>
      </c>
      <c r="E15" s="39" t="s">
        <v>104</v>
      </c>
    </row>
    <row r="16" customFormat="false" ht="15" hidden="false" customHeight="false" outlineLevel="0" collapsed="false">
      <c r="A16" s="33" t="s">
        <v>60</v>
      </c>
      <c r="B16" s="33" t="s">
        <v>106</v>
      </c>
      <c r="C16" s="41" t="n">
        <v>12</v>
      </c>
      <c r="D16" s="35" t="s">
        <v>120</v>
      </c>
      <c r="E16" s="35" t="s">
        <v>107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7" min="6" style="0" width="12"/>
  </cols>
  <sheetData>
    <row r="1" customFormat="false" ht="17.15" hidden="false" customHeight="false" outlineLevel="0" collapsed="false">
      <c r="A1" s="29" t="s">
        <v>124</v>
      </c>
    </row>
    <row r="2" customFormat="false" ht="15" hidden="false" customHeight="false" outlineLevel="0" collapsed="false">
      <c r="A2" s="30" t="s">
        <v>125</v>
      </c>
    </row>
    <row r="3" customFormat="false" ht="15" hidden="false" customHeight="false" outlineLevel="0" collapsed="false">
      <c r="A3" s="31" t="s">
        <v>50</v>
      </c>
      <c r="B3" s="31" t="s">
        <v>51</v>
      </c>
      <c r="C3" s="31" t="s">
        <v>113</v>
      </c>
      <c r="D3" s="31" t="s">
        <v>126</v>
      </c>
      <c r="E3" s="31" t="s">
        <v>127</v>
      </c>
      <c r="F3" s="31" t="s">
        <v>59</v>
      </c>
      <c r="G3" s="31" t="s">
        <v>128</v>
      </c>
    </row>
    <row r="4" customFormat="false" ht="15" hidden="false" customHeight="false" outlineLevel="0" collapsed="false">
      <c r="A4" s="33" t="s">
        <v>60</v>
      </c>
      <c r="B4" s="33" t="s">
        <v>129</v>
      </c>
      <c r="C4" s="41" t="n">
        <v>5834</v>
      </c>
      <c r="D4" s="35" t="s">
        <v>64</v>
      </c>
      <c r="E4" s="35" t="s">
        <v>117</v>
      </c>
      <c r="F4" s="35" t="s">
        <v>130</v>
      </c>
      <c r="G4" s="33"/>
    </row>
    <row r="5" customFormat="false" ht="15" hidden="false" customHeight="false" outlineLevel="0" collapsed="false">
      <c r="A5" s="37" t="s">
        <v>60</v>
      </c>
      <c r="B5" s="39" t="s">
        <v>71</v>
      </c>
      <c r="C5" s="42" t="n">
        <v>1128</v>
      </c>
      <c r="D5" s="39" t="s">
        <v>65</v>
      </c>
      <c r="E5" s="39" t="s">
        <v>117</v>
      </c>
      <c r="F5" s="39" t="s">
        <v>131</v>
      </c>
      <c r="G5" s="37"/>
    </row>
    <row r="6" customFormat="false" ht="15" hidden="false" customHeight="false" outlineLevel="0" collapsed="false">
      <c r="A6" s="33" t="s">
        <v>6</v>
      </c>
      <c r="B6" s="33" t="s">
        <v>78</v>
      </c>
      <c r="C6" s="41" t="n">
        <v>462</v>
      </c>
      <c r="D6" s="35" t="s">
        <v>69</v>
      </c>
      <c r="E6" s="35" t="s">
        <v>117</v>
      </c>
      <c r="F6" s="35" t="s">
        <v>132</v>
      </c>
      <c r="G6" s="33"/>
    </row>
    <row r="7" customFormat="false" ht="15" hidden="false" customHeight="false" outlineLevel="0" collapsed="false">
      <c r="A7" s="37" t="s">
        <v>60</v>
      </c>
      <c r="B7" s="39" t="s">
        <v>133</v>
      </c>
      <c r="C7" s="42" t="n">
        <v>360</v>
      </c>
      <c r="D7" s="39" t="s">
        <v>64</v>
      </c>
      <c r="E7" s="39" t="s">
        <v>117</v>
      </c>
      <c r="F7" s="39" t="s">
        <v>130</v>
      </c>
      <c r="G7" s="37"/>
    </row>
    <row r="8" customFormat="false" ht="15" hidden="false" customHeight="false" outlineLevel="0" collapsed="false">
      <c r="A8" s="33" t="s">
        <v>60</v>
      </c>
      <c r="B8" s="35" t="s">
        <v>134</v>
      </c>
      <c r="C8" s="41" t="n">
        <v>265</v>
      </c>
      <c r="D8" s="35" t="s">
        <v>64</v>
      </c>
      <c r="E8" s="35" t="s">
        <v>135</v>
      </c>
      <c r="F8" s="35" t="s">
        <v>136</v>
      </c>
      <c r="G8" s="33"/>
    </row>
    <row r="9" customFormat="false" ht="15" hidden="false" customHeight="false" outlineLevel="0" collapsed="false">
      <c r="A9" s="37" t="s">
        <v>60</v>
      </c>
      <c r="B9" s="37" t="s">
        <v>137</v>
      </c>
      <c r="C9" s="42" t="n">
        <v>235</v>
      </c>
      <c r="D9" s="39" t="s">
        <v>64</v>
      </c>
      <c r="E9" s="39" t="s">
        <v>117</v>
      </c>
      <c r="F9" s="39" t="s">
        <v>136</v>
      </c>
      <c r="G9" s="37"/>
    </row>
    <row r="10" customFormat="false" ht="15" hidden="false" customHeight="false" outlineLevel="0" collapsed="false">
      <c r="A10" s="33" t="s">
        <v>60</v>
      </c>
      <c r="B10" s="33" t="s">
        <v>87</v>
      </c>
      <c r="C10" s="41" t="n">
        <v>173</v>
      </c>
      <c r="D10" s="35" t="s">
        <v>69</v>
      </c>
      <c r="E10" s="35" t="s">
        <v>117</v>
      </c>
      <c r="F10" s="35" t="s">
        <v>138</v>
      </c>
      <c r="G10" s="33"/>
    </row>
    <row r="11" customFormat="false" ht="15" hidden="false" customHeight="false" outlineLevel="0" collapsed="false">
      <c r="A11" s="37" t="s">
        <v>60</v>
      </c>
      <c r="B11" s="37" t="s">
        <v>90</v>
      </c>
      <c r="C11" s="42" t="n">
        <v>149</v>
      </c>
      <c r="D11" s="39" t="s">
        <v>69</v>
      </c>
      <c r="E11" s="39" t="s">
        <v>139</v>
      </c>
      <c r="F11" s="39" t="s">
        <v>138</v>
      </c>
      <c r="G11" s="37"/>
    </row>
    <row r="12" customFormat="false" ht="15" hidden="false" customHeight="false" outlineLevel="0" collapsed="false">
      <c r="A12" s="33" t="s">
        <v>60</v>
      </c>
      <c r="B12" s="33" t="s">
        <v>91</v>
      </c>
      <c r="C12" s="41" t="n">
        <v>120</v>
      </c>
      <c r="D12" s="35" t="s">
        <v>69</v>
      </c>
      <c r="E12" s="35" t="s">
        <v>139</v>
      </c>
      <c r="F12" s="35" t="s">
        <v>136</v>
      </c>
      <c r="G12" s="33"/>
    </row>
    <row r="13" customFormat="false" ht="15" hidden="false" customHeight="false" outlineLevel="0" collapsed="false">
      <c r="A13" s="37" t="s">
        <v>60</v>
      </c>
      <c r="B13" s="37" t="s">
        <v>140</v>
      </c>
      <c r="C13" s="42" t="n">
        <v>120</v>
      </c>
      <c r="D13" s="39" t="s">
        <v>64</v>
      </c>
      <c r="E13" s="39" t="s">
        <v>117</v>
      </c>
      <c r="F13" s="39" t="s">
        <v>136</v>
      </c>
      <c r="G13" s="37"/>
    </row>
    <row r="14" customFormat="false" ht="15" hidden="false" customHeight="false" outlineLevel="0" collapsed="false">
      <c r="A14" s="33" t="s">
        <v>60</v>
      </c>
      <c r="B14" s="33" t="s">
        <v>93</v>
      </c>
      <c r="C14" s="41" t="n">
        <v>98</v>
      </c>
      <c r="D14" s="35" t="s">
        <v>69</v>
      </c>
      <c r="E14" s="35" t="s">
        <v>139</v>
      </c>
      <c r="F14" s="35" t="s">
        <v>136</v>
      </c>
      <c r="G14" s="33"/>
    </row>
    <row r="15" customFormat="false" ht="15" hidden="false" customHeight="false" outlineLevel="0" collapsed="false">
      <c r="A15" s="37" t="s">
        <v>60</v>
      </c>
      <c r="B15" s="37" t="s">
        <v>141</v>
      </c>
      <c r="C15" s="42" t="n">
        <v>80</v>
      </c>
      <c r="D15" s="39" t="s">
        <v>64</v>
      </c>
      <c r="E15" s="39" t="s">
        <v>117</v>
      </c>
      <c r="F15" s="39" t="s">
        <v>130</v>
      </c>
      <c r="G15" s="37"/>
    </row>
    <row r="16" customFormat="false" ht="15" hidden="false" customHeight="false" outlineLevel="0" collapsed="false">
      <c r="A16" s="33" t="s">
        <v>60</v>
      </c>
      <c r="B16" s="33" t="s">
        <v>94</v>
      </c>
      <c r="C16" s="41" t="n">
        <v>62</v>
      </c>
      <c r="D16" s="35" t="s">
        <v>69</v>
      </c>
      <c r="E16" s="35" t="s">
        <v>139</v>
      </c>
      <c r="F16" s="35" t="s">
        <v>138</v>
      </c>
      <c r="G16" s="33"/>
    </row>
    <row r="17" customFormat="false" ht="15" hidden="false" customHeight="false" outlineLevel="0" collapsed="false">
      <c r="A17" s="37" t="s">
        <v>60</v>
      </c>
      <c r="B17" s="37" t="s">
        <v>96</v>
      </c>
      <c r="C17" s="42" t="n">
        <v>62</v>
      </c>
      <c r="D17" s="39" t="s">
        <v>69</v>
      </c>
      <c r="E17" s="39" t="s">
        <v>139</v>
      </c>
      <c r="F17" s="39" t="s">
        <v>138</v>
      </c>
      <c r="G17" s="37"/>
    </row>
    <row r="18" customFormat="false" ht="15" hidden="false" customHeight="false" outlineLevel="0" collapsed="false">
      <c r="A18" s="33" t="s">
        <v>60</v>
      </c>
      <c r="B18" s="33" t="s">
        <v>98</v>
      </c>
      <c r="C18" s="41" t="n">
        <v>50</v>
      </c>
      <c r="D18" s="35" t="s">
        <v>69</v>
      </c>
      <c r="E18" s="35" t="s">
        <v>139</v>
      </c>
      <c r="F18" s="35" t="s">
        <v>138</v>
      </c>
      <c r="G18" s="33"/>
    </row>
    <row r="19" customFormat="false" ht="15" hidden="false" customHeight="false" outlineLevel="0" collapsed="false">
      <c r="A19" s="37" t="s">
        <v>60</v>
      </c>
      <c r="B19" s="39" t="s">
        <v>142</v>
      </c>
      <c r="C19" s="42" t="n">
        <v>50</v>
      </c>
      <c r="D19" s="39" t="s">
        <v>65</v>
      </c>
      <c r="E19" s="39" t="s">
        <v>120</v>
      </c>
      <c r="F19" s="39" t="s">
        <v>143</v>
      </c>
      <c r="G19" s="37"/>
    </row>
    <row r="20" customFormat="false" ht="15" hidden="false" customHeight="false" outlineLevel="0" collapsed="false">
      <c r="A20" s="33" t="s">
        <v>60</v>
      </c>
      <c r="B20" s="33" t="s">
        <v>103</v>
      </c>
      <c r="C20" s="41" t="n">
        <v>38</v>
      </c>
      <c r="D20" s="35" t="s">
        <v>69</v>
      </c>
      <c r="E20" s="35" t="s">
        <v>139</v>
      </c>
      <c r="F20" s="35" t="s">
        <v>138</v>
      </c>
      <c r="G20" s="33"/>
    </row>
    <row r="21" customFormat="false" ht="15" hidden="false" customHeight="false" outlineLevel="0" collapsed="false">
      <c r="A21" s="37" t="s">
        <v>60</v>
      </c>
      <c r="B21" s="39" t="s">
        <v>105</v>
      </c>
      <c r="C21" s="42" t="n">
        <v>37</v>
      </c>
      <c r="D21" s="39" t="s">
        <v>69</v>
      </c>
      <c r="E21" s="39" t="s">
        <v>120</v>
      </c>
      <c r="F21" s="39" t="s">
        <v>136</v>
      </c>
      <c r="G21" s="37"/>
    </row>
    <row r="22" customFormat="false" ht="15" hidden="false" customHeight="false" outlineLevel="0" collapsed="false">
      <c r="A22" s="33" t="s">
        <v>60</v>
      </c>
      <c r="B22" s="33" t="s">
        <v>106</v>
      </c>
      <c r="C22" s="41" t="n">
        <v>12</v>
      </c>
      <c r="D22" s="35" t="s">
        <v>69</v>
      </c>
      <c r="E22" s="35" t="s">
        <v>139</v>
      </c>
      <c r="F22" s="35" t="s">
        <v>138</v>
      </c>
      <c r="G22" s="33"/>
    </row>
    <row r="23" customFormat="false" ht="15" hidden="false" customHeight="false" outlineLevel="0" collapsed="false">
      <c r="A23" s="37" t="s">
        <v>60</v>
      </c>
      <c r="B23" s="37" t="s">
        <v>144</v>
      </c>
      <c r="C23" s="42" t="n">
        <v>10</v>
      </c>
      <c r="D23" s="39" t="s">
        <v>64</v>
      </c>
      <c r="E23" s="39" t="s">
        <v>120</v>
      </c>
      <c r="F23" s="39" t="s">
        <v>136</v>
      </c>
      <c r="G23" s="37"/>
    </row>
    <row r="24" customFormat="false" ht="15" hidden="false" customHeight="false" outlineLevel="0" collapsed="false">
      <c r="A24" s="33" t="s">
        <v>60</v>
      </c>
      <c r="B24" s="33" t="s">
        <v>145</v>
      </c>
      <c r="C24" s="41" t="n">
        <v>0</v>
      </c>
      <c r="D24" s="35" t="s">
        <v>85</v>
      </c>
      <c r="E24" s="35" t="s">
        <v>117</v>
      </c>
      <c r="F24" s="35" t="s">
        <v>131</v>
      </c>
      <c r="G24" s="35" t="s">
        <v>146</v>
      </c>
    </row>
    <row r="25" customFormat="false" ht="15" hidden="false" customHeight="false" outlineLevel="0" collapsed="false">
      <c r="A25" s="37" t="s">
        <v>60</v>
      </c>
      <c r="B25" s="37" t="s">
        <v>147</v>
      </c>
      <c r="C25" s="42" t="n">
        <v>0</v>
      </c>
      <c r="D25" s="39" t="s">
        <v>85</v>
      </c>
      <c r="E25" s="39" t="s">
        <v>117</v>
      </c>
      <c r="F25" s="39" t="s">
        <v>148</v>
      </c>
      <c r="G25" s="39" t="s">
        <v>146</v>
      </c>
    </row>
    <row r="26" customFormat="false" ht="15" hidden="false" customHeight="false" outlineLevel="0" collapsed="false">
      <c r="A26" s="33" t="s">
        <v>60</v>
      </c>
      <c r="B26" s="33" t="s">
        <v>149</v>
      </c>
      <c r="C26" s="41" t="n">
        <v>0</v>
      </c>
      <c r="D26" s="35" t="s">
        <v>64</v>
      </c>
      <c r="E26" s="35" t="s">
        <v>117</v>
      </c>
      <c r="F26" s="35" t="s">
        <v>136</v>
      </c>
      <c r="G26" s="35" t="s">
        <v>146</v>
      </c>
    </row>
    <row r="27" customFormat="false" ht="15" hidden="false" customHeight="false" outlineLevel="0" collapsed="false">
      <c r="A27" s="37" t="s">
        <v>60</v>
      </c>
      <c r="B27" s="37" t="s">
        <v>150</v>
      </c>
      <c r="C27" s="42" t="n">
        <v>0</v>
      </c>
      <c r="D27" s="39" t="s">
        <v>85</v>
      </c>
      <c r="E27" s="39" t="s">
        <v>117</v>
      </c>
      <c r="F27" s="39" t="s">
        <v>151</v>
      </c>
      <c r="G27" s="39" t="s">
        <v>146</v>
      </c>
    </row>
    <row r="28" customFormat="false" ht="15" hidden="false" customHeight="false" outlineLevel="0" collapsed="false">
      <c r="A28" s="33" t="s">
        <v>60</v>
      </c>
      <c r="B28" s="35" t="s">
        <v>152</v>
      </c>
      <c r="C28" s="41" t="n">
        <v>0</v>
      </c>
      <c r="D28" s="35" t="s">
        <v>64</v>
      </c>
      <c r="E28" s="35" t="s">
        <v>117</v>
      </c>
      <c r="F28" s="35" t="s">
        <v>153</v>
      </c>
      <c r="G28" s="35" t="s">
        <v>146</v>
      </c>
    </row>
    <row r="29" customFormat="false" ht="15" hidden="false" customHeight="false" outlineLevel="0" collapsed="false">
      <c r="A29" s="37" t="s">
        <v>60</v>
      </c>
      <c r="B29" s="37" t="s">
        <v>154</v>
      </c>
      <c r="C29" s="42" t="n">
        <v>0</v>
      </c>
      <c r="D29" s="39" t="s">
        <v>85</v>
      </c>
      <c r="E29" s="39" t="s">
        <v>117</v>
      </c>
      <c r="F29" s="39" t="s">
        <v>131</v>
      </c>
      <c r="G29" s="39" t="s">
        <v>146</v>
      </c>
    </row>
    <row r="30" customFormat="false" ht="15" hidden="false" customHeight="false" outlineLevel="0" collapsed="false">
      <c r="A30" s="33" t="s">
        <v>60</v>
      </c>
      <c r="B30" s="33" t="s">
        <v>155</v>
      </c>
      <c r="C30" s="41" t="n">
        <v>0</v>
      </c>
      <c r="D30" s="35" t="s">
        <v>85</v>
      </c>
      <c r="E30" s="35" t="s">
        <v>117</v>
      </c>
      <c r="F30" s="35" t="s">
        <v>132</v>
      </c>
      <c r="G30" s="35" t="s">
        <v>146</v>
      </c>
    </row>
    <row r="31" customFormat="false" ht="15" hidden="false" customHeight="false" outlineLevel="0" collapsed="false">
      <c r="A31" s="37" t="s">
        <v>60</v>
      </c>
      <c r="B31" s="37" t="s">
        <v>156</v>
      </c>
      <c r="C31" s="42" t="n">
        <v>0</v>
      </c>
      <c r="D31" s="39" t="s">
        <v>64</v>
      </c>
      <c r="E31" s="39" t="s">
        <v>117</v>
      </c>
      <c r="F31" s="39" t="s">
        <v>157</v>
      </c>
      <c r="G31" s="39" t="s">
        <v>146</v>
      </c>
    </row>
    <row r="32" customFormat="false" ht="15" hidden="false" customHeight="false" outlineLevel="0" collapsed="false">
      <c r="A32" s="33" t="s">
        <v>60</v>
      </c>
      <c r="B32" s="33" t="s">
        <v>158</v>
      </c>
      <c r="C32" s="41" t="n">
        <v>0</v>
      </c>
      <c r="D32" s="35" t="s">
        <v>64</v>
      </c>
      <c r="E32" s="35" t="s">
        <v>117</v>
      </c>
      <c r="F32" s="35" t="s">
        <v>159</v>
      </c>
      <c r="G32" s="35" t="s">
        <v>146</v>
      </c>
    </row>
    <row r="33" customFormat="false" ht="15" hidden="false" customHeight="false" outlineLevel="0" collapsed="false">
      <c r="A33" s="37" t="s">
        <v>60</v>
      </c>
      <c r="B33" s="37" t="s">
        <v>160</v>
      </c>
      <c r="C33" s="42" t="n">
        <v>0</v>
      </c>
      <c r="D33" s="39" t="s">
        <v>85</v>
      </c>
      <c r="E33" s="39" t="s">
        <v>161</v>
      </c>
      <c r="F33" s="39" t="s">
        <v>130</v>
      </c>
      <c r="G33" s="39" t="s">
        <v>146</v>
      </c>
    </row>
    <row r="34" customFormat="false" ht="15" hidden="false" customHeight="false" outlineLevel="0" collapsed="false">
      <c r="A34" s="33" t="s">
        <v>60</v>
      </c>
      <c r="B34" s="33" t="s">
        <v>162</v>
      </c>
      <c r="C34" s="41" t="n">
        <v>0</v>
      </c>
      <c r="D34" s="35" t="s">
        <v>85</v>
      </c>
      <c r="E34" s="35" t="s">
        <v>117</v>
      </c>
      <c r="F34" s="35" t="s">
        <v>136</v>
      </c>
      <c r="G34" s="35" t="s">
        <v>146</v>
      </c>
    </row>
    <row r="35" customFormat="false" ht="15" hidden="false" customHeight="false" outlineLevel="0" collapsed="false">
      <c r="A35" s="37" t="s">
        <v>60</v>
      </c>
      <c r="B35" s="37" t="s">
        <v>163</v>
      </c>
      <c r="C35" s="42" t="n">
        <v>0</v>
      </c>
      <c r="D35" s="39" t="s">
        <v>64</v>
      </c>
      <c r="E35" s="39" t="s">
        <v>117</v>
      </c>
      <c r="F35" s="39" t="s">
        <v>164</v>
      </c>
      <c r="G35" s="39" t="s">
        <v>146</v>
      </c>
    </row>
    <row r="36" customFormat="false" ht="15" hidden="false" customHeight="false" outlineLevel="0" collapsed="false">
      <c r="A36" s="33" t="s">
        <v>60</v>
      </c>
      <c r="B36" s="33" t="s">
        <v>165</v>
      </c>
      <c r="C36" s="41" t="n">
        <v>0</v>
      </c>
      <c r="D36" s="35" t="s">
        <v>64</v>
      </c>
      <c r="E36" s="35" t="s">
        <v>117</v>
      </c>
      <c r="F36" s="35" t="s">
        <v>166</v>
      </c>
      <c r="G36" s="35" t="s">
        <v>146</v>
      </c>
    </row>
    <row r="37" customFormat="false" ht="15" hidden="false" customHeight="false" outlineLevel="0" collapsed="false">
      <c r="A37" s="37" t="s">
        <v>60</v>
      </c>
      <c r="B37" s="37" t="s">
        <v>167</v>
      </c>
      <c r="C37" s="42" t="n">
        <v>0</v>
      </c>
      <c r="D37" s="39" t="s">
        <v>85</v>
      </c>
      <c r="E37" s="39" t="s">
        <v>117</v>
      </c>
      <c r="F37" s="39" t="s">
        <v>168</v>
      </c>
      <c r="G37" s="39" t="s">
        <v>146</v>
      </c>
    </row>
    <row r="38" customFormat="false" ht="15" hidden="false" customHeight="false" outlineLevel="0" collapsed="false">
      <c r="A38" s="33" t="s">
        <v>60</v>
      </c>
      <c r="B38" s="33" t="s">
        <v>169</v>
      </c>
      <c r="C38" s="41" t="n">
        <v>0</v>
      </c>
      <c r="D38" s="35" t="s">
        <v>64</v>
      </c>
      <c r="E38" s="35" t="s">
        <v>117</v>
      </c>
      <c r="F38" s="35" t="s">
        <v>166</v>
      </c>
      <c r="G38" s="35" t="s">
        <v>146</v>
      </c>
    </row>
    <row r="39" customFormat="false" ht="15" hidden="false" customHeight="false" outlineLevel="0" collapsed="false">
      <c r="A39" s="37" t="s">
        <v>60</v>
      </c>
      <c r="B39" s="37" t="s">
        <v>170</v>
      </c>
      <c r="C39" s="42" t="n">
        <v>0</v>
      </c>
      <c r="D39" s="39" t="s">
        <v>85</v>
      </c>
      <c r="E39" s="39" t="s">
        <v>117</v>
      </c>
      <c r="F39" s="39" t="s">
        <v>131</v>
      </c>
      <c r="G39" s="39" t="s">
        <v>146</v>
      </c>
    </row>
    <row r="40" customFormat="false" ht="15" hidden="false" customHeight="false" outlineLevel="0" collapsed="false">
      <c r="A40" s="33" t="s">
        <v>60</v>
      </c>
      <c r="B40" s="33" t="s">
        <v>171</v>
      </c>
      <c r="C40" s="41" t="n">
        <v>0</v>
      </c>
      <c r="D40" s="35" t="s">
        <v>85</v>
      </c>
      <c r="E40" s="35" t="s">
        <v>117</v>
      </c>
      <c r="F40" s="35" t="s">
        <v>172</v>
      </c>
      <c r="G40" s="35" t="s">
        <v>146</v>
      </c>
    </row>
    <row r="41" customFormat="false" ht="15" hidden="false" customHeight="false" outlineLevel="0" collapsed="false">
      <c r="A41" s="37" t="s">
        <v>60</v>
      </c>
      <c r="B41" s="37" t="s">
        <v>173</v>
      </c>
      <c r="C41" s="42" t="n">
        <v>0</v>
      </c>
      <c r="D41" s="39" t="s">
        <v>85</v>
      </c>
      <c r="E41" s="39" t="s">
        <v>117</v>
      </c>
      <c r="F41" s="39" t="s">
        <v>172</v>
      </c>
      <c r="G41" s="39" t="s">
        <v>146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5" min="5" style="0" width="18"/>
  </cols>
  <sheetData>
    <row r="1" customFormat="false" ht="17.15" hidden="false" customHeight="false" outlineLevel="0" collapsed="false">
      <c r="A1" s="29" t="s">
        <v>174</v>
      </c>
    </row>
    <row r="2" customFormat="false" ht="15" hidden="false" customHeight="false" outlineLevel="0" collapsed="false">
      <c r="A2" s="30" t="s">
        <v>175</v>
      </c>
    </row>
    <row r="3" customFormat="false" ht="15" hidden="false" customHeight="false" outlineLevel="0" collapsed="false">
      <c r="A3" s="31" t="s">
        <v>50</v>
      </c>
      <c r="B3" s="31" t="s">
        <v>51</v>
      </c>
      <c r="C3" s="31" t="s">
        <v>113</v>
      </c>
      <c r="D3" s="31" t="s">
        <v>126</v>
      </c>
      <c r="E3" s="31" t="s">
        <v>176</v>
      </c>
    </row>
    <row r="4" customFormat="false" ht="15" hidden="false" customHeight="false" outlineLevel="0" collapsed="false">
      <c r="A4" s="33" t="s">
        <v>60</v>
      </c>
      <c r="B4" s="33" t="s">
        <v>177</v>
      </c>
      <c r="C4" s="41" t="n">
        <v>1572</v>
      </c>
      <c r="D4" s="35" t="s">
        <v>64</v>
      </c>
      <c r="E4" s="35" t="s">
        <v>117</v>
      </c>
    </row>
    <row r="5" customFormat="false" ht="15" hidden="false" customHeight="false" outlineLevel="0" collapsed="false">
      <c r="A5" s="37" t="s">
        <v>60</v>
      </c>
      <c r="B5" s="37" t="s">
        <v>178</v>
      </c>
      <c r="C5" s="42" t="n">
        <v>1300</v>
      </c>
      <c r="D5" s="39" t="s">
        <v>85</v>
      </c>
      <c r="E5" s="39" t="s">
        <v>117</v>
      </c>
    </row>
    <row r="6" customFormat="false" ht="15" hidden="false" customHeight="false" outlineLevel="0" collapsed="false">
      <c r="A6" s="33" t="s">
        <v>60</v>
      </c>
      <c r="B6" s="33" t="s">
        <v>179</v>
      </c>
      <c r="C6" s="41" t="n">
        <v>1000</v>
      </c>
      <c r="D6" s="35" t="s">
        <v>64</v>
      </c>
      <c r="E6" s="35" t="s">
        <v>161</v>
      </c>
    </row>
    <row r="7" customFormat="false" ht="15" hidden="false" customHeight="false" outlineLevel="0" collapsed="false">
      <c r="A7" s="37" t="s">
        <v>60</v>
      </c>
      <c r="B7" s="37" t="s">
        <v>180</v>
      </c>
      <c r="C7" s="42" t="n">
        <v>800</v>
      </c>
      <c r="D7" s="39" t="s">
        <v>64</v>
      </c>
      <c r="E7" s="39" t="s">
        <v>117</v>
      </c>
    </row>
    <row r="8" customFormat="false" ht="15" hidden="false" customHeight="false" outlineLevel="0" collapsed="false">
      <c r="A8" s="33" t="s">
        <v>60</v>
      </c>
      <c r="B8" s="33" t="s">
        <v>181</v>
      </c>
      <c r="C8" s="41" t="n">
        <v>785</v>
      </c>
      <c r="D8" s="35" t="s">
        <v>64</v>
      </c>
      <c r="E8" s="35" t="s">
        <v>117</v>
      </c>
    </row>
    <row r="9" customFormat="false" ht="15" hidden="false" customHeight="false" outlineLevel="0" collapsed="false">
      <c r="A9" s="37" t="s">
        <v>60</v>
      </c>
      <c r="B9" s="39" t="s">
        <v>182</v>
      </c>
      <c r="C9" s="42" t="n">
        <v>140</v>
      </c>
      <c r="D9" s="39" t="s">
        <v>64</v>
      </c>
      <c r="E9" s="39" t="s">
        <v>135</v>
      </c>
    </row>
    <row r="10" customFormat="false" ht="15" hidden="false" customHeight="false" outlineLevel="0" collapsed="false">
      <c r="A10" s="33" t="s">
        <v>60</v>
      </c>
      <c r="B10" s="33" t="s">
        <v>183</v>
      </c>
      <c r="C10" s="41" t="n">
        <v>0</v>
      </c>
      <c r="D10" s="35" t="s">
        <v>64</v>
      </c>
      <c r="E10" s="35" t="s">
        <v>117</v>
      </c>
    </row>
    <row r="11" customFormat="false" ht="15" hidden="false" customHeight="false" outlineLevel="0" collapsed="false">
      <c r="A11" s="37" t="s">
        <v>60</v>
      </c>
      <c r="B11" s="37" t="s">
        <v>184</v>
      </c>
      <c r="C11" s="42" t="n">
        <v>0</v>
      </c>
      <c r="D11" s="39" t="s">
        <v>64</v>
      </c>
      <c r="E11" s="39" t="s">
        <v>161</v>
      </c>
    </row>
    <row r="12" customFormat="false" ht="15" hidden="false" customHeight="false" outlineLevel="0" collapsed="false">
      <c r="A12" s="33" t="s">
        <v>60</v>
      </c>
      <c r="B12" s="33" t="s">
        <v>185</v>
      </c>
      <c r="C12" s="41" t="n">
        <v>0</v>
      </c>
      <c r="D12" s="35" t="s">
        <v>64</v>
      </c>
      <c r="E12" s="35" t="s">
        <v>117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6.15" hidden="false" customHeight="false" outlineLevel="0" collapsed="false">
      <c r="A1" s="43" t="s">
        <v>186</v>
      </c>
    </row>
    <row r="3" customFormat="false" ht="15" hidden="false" customHeight="false" outlineLevel="0" collapsed="false">
      <c r="A3" s="44" t="s">
        <v>187</v>
      </c>
      <c r="B3" s="45"/>
    </row>
    <row r="4" customFormat="false" ht="15" hidden="false" customHeight="false" outlineLevel="0" collapsed="false">
      <c r="A4" s="46" t="s">
        <v>188</v>
      </c>
      <c r="B4" s="47" t="s">
        <v>189</v>
      </c>
    </row>
    <row r="5" customFormat="false" ht="15" hidden="false" customHeight="false" outlineLevel="0" collapsed="false">
      <c r="A5" s="46" t="s">
        <v>190</v>
      </c>
      <c r="B5" s="45" t="s">
        <v>191</v>
      </c>
    </row>
    <row r="6" customFormat="false" ht="15" hidden="false" customHeight="false" outlineLevel="0" collapsed="false">
      <c r="A6" s="46" t="s">
        <v>192</v>
      </c>
      <c r="B6" s="47" t="s">
        <v>193</v>
      </c>
    </row>
    <row r="7" customFormat="false" ht="15" hidden="false" customHeight="false" outlineLevel="0" collapsed="false">
      <c r="A7" s="48"/>
      <c r="B7" s="47"/>
    </row>
    <row r="8" customFormat="false" ht="15" hidden="false" customHeight="false" outlineLevel="0" collapsed="false">
      <c r="A8" s="44" t="s">
        <v>194</v>
      </c>
      <c r="B8" s="47"/>
    </row>
    <row r="9" customFormat="false" ht="15" hidden="false" customHeight="false" outlineLevel="0" collapsed="false">
      <c r="A9" s="46" t="s">
        <v>195</v>
      </c>
      <c r="B9" s="45" t="s">
        <v>196</v>
      </c>
    </row>
    <row r="10" customFormat="false" ht="15" hidden="false" customHeight="false" outlineLevel="0" collapsed="false">
      <c r="A10" s="46" t="s">
        <v>197</v>
      </c>
      <c r="B10" s="47" t="s">
        <v>198</v>
      </c>
    </row>
    <row r="11" customFormat="false" ht="15" hidden="false" customHeight="false" outlineLevel="0" collapsed="false">
      <c r="A11" s="49" t="s">
        <v>199</v>
      </c>
      <c r="B11" s="47" t="s">
        <v>200</v>
      </c>
    </row>
    <row r="12" customFormat="false" ht="15" hidden="false" customHeight="false" outlineLevel="0" collapsed="false">
      <c r="A12" s="46" t="s">
        <v>201</v>
      </c>
      <c r="B12" s="47" t="s">
        <v>202</v>
      </c>
    </row>
    <row r="13" customFormat="false" ht="15" hidden="false" customHeight="false" outlineLevel="0" collapsed="false">
      <c r="A13" s="48"/>
      <c r="B13" s="47"/>
    </row>
    <row r="14" customFormat="false" ht="15" hidden="false" customHeight="false" outlineLevel="0" collapsed="false">
      <c r="A14" s="44" t="s">
        <v>203</v>
      </c>
      <c r="B14" s="47"/>
    </row>
    <row r="15" customFormat="false" ht="14.15" hidden="false" customHeight="false" outlineLevel="0" collapsed="false">
      <c r="A15" s="49" t="s">
        <v>204</v>
      </c>
      <c r="B15" s="47" t="s">
        <v>205</v>
      </c>
    </row>
    <row r="16" customFormat="false" ht="15" hidden="false" customHeight="false" outlineLevel="0" collapsed="false">
      <c r="A16" s="46" t="s">
        <v>206</v>
      </c>
      <c r="B16" s="45" t="s">
        <v>207</v>
      </c>
    </row>
    <row r="17" customFormat="false" ht="14.15" hidden="false" customHeight="false" outlineLevel="0" collapsed="false">
      <c r="A17" s="46" t="s">
        <v>208</v>
      </c>
      <c r="B17" s="45" t="s">
        <v>209</v>
      </c>
    </row>
    <row r="18" customFormat="false" ht="15" hidden="false" customHeight="false" outlineLevel="0" collapsed="false">
      <c r="A18" s="46" t="s">
        <v>15</v>
      </c>
      <c r="B18" s="45" t="s">
        <v>210</v>
      </c>
    </row>
    <row r="19" customFormat="false" ht="15" hidden="false" customHeight="false" outlineLevel="0" collapsed="false">
      <c r="A19" s="46" t="s">
        <v>211</v>
      </c>
      <c r="B19" s="47" t="s">
        <v>212</v>
      </c>
    </row>
    <row r="20" customFormat="false" ht="15" hidden="false" customHeight="false" outlineLevel="0" collapsed="false">
      <c r="A20" s="48"/>
      <c r="B20" s="47"/>
    </row>
    <row r="21" customFormat="false" ht="15" hidden="false" customHeight="false" outlineLevel="0" collapsed="false">
      <c r="A21" s="44" t="s">
        <v>213</v>
      </c>
      <c r="B21" s="47"/>
    </row>
    <row r="22" customFormat="false" ht="15" hidden="false" customHeight="false" outlineLevel="0" collapsed="false">
      <c r="A22" s="46" t="s">
        <v>128</v>
      </c>
      <c r="B22" s="47" t="s">
        <v>214</v>
      </c>
    </row>
    <row r="23" customFormat="false" ht="15" hidden="false" customHeight="false" outlineLevel="0" collapsed="false">
      <c r="A23" s="46" t="s">
        <v>215</v>
      </c>
      <c r="B23" s="47" t="s">
        <v>216</v>
      </c>
    </row>
    <row r="24" customFormat="false" ht="15" hidden="false" customHeight="false" outlineLevel="0" collapsed="false">
      <c r="A24" s="46"/>
      <c r="B24" s="47" t="s">
        <v>217</v>
      </c>
    </row>
    <row r="25" customFormat="false" ht="15" hidden="false" customHeight="false" outlineLevel="0" collapsed="false">
      <c r="A25" s="46" t="s">
        <v>6</v>
      </c>
      <c r="B25" s="45" t="s">
        <v>218</v>
      </c>
    </row>
    <row r="26" customFormat="false" ht="14.15" hidden="false" customHeight="false" outlineLevel="0" collapsed="false">
      <c r="A26" s="49" t="s">
        <v>219</v>
      </c>
      <c r="B26" s="45" t="s">
        <v>220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2026-10-05T10:58:03Z</dcterms:created>
  <dc:creator>openpyxl</dc:creator>
  <dc:description/>
  <dc:language>en-US</dc:language>
  <cp:lastModifiedBy/>
  <dcterms:modified xsi:type="dcterms:W3CDTF">2026-10-05T10:58:03Z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