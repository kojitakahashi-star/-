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次サマリー" sheetId="1" state="visible" r:id="rId1"/>
    <sheet name="入力" sheetId="2" state="visible" r:id="rId2"/>
    <sheet name="グラフ用データ" sheetId="3" state="visible" r:id="rId3"/>
    <sheet name="算出方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-#,##0;0"/>
    <numFmt numFmtId="165" formatCode="0.0%"/>
    <numFmt numFmtId="166" formatCode="+#,##0;-#,##0;0"/>
    <numFmt numFmtId="167" formatCode="+0.0%;-0.0%;0.0%"/>
  </numFmts>
  <fonts count="29">
    <font>
      <name val="Calibri"/>
      <family val="2"/>
      <color theme="1"/>
      <sz val="11"/>
      <scheme val="minor"/>
    </font>
    <font>
      <name val="Meiryo"/>
      <b val="1"/>
      <color rgb="002C5F2D"/>
      <sz val="13"/>
    </font>
    <font>
      <name val="Meiryo"/>
      <color rgb="00767676"/>
      <sz val="9"/>
    </font>
    <font>
      <name val="Meiryo"/>
      <b val="1"/>
      <color rgb="002C5F2D"/>
      <sz val="11"/>
    </font>
    <font>
      <name val="Meiryo"/>
      <b val="1"/>
      <color rgb="001A1A1A"/>
      <sz val="10"/>
    </font>
    <font>
      <name val="Meiryo"/>
      <color rgb="000000FF"/>
      <sz val="10"/>
    </font>
    <font>
      <name val="Meiryo"/>
      <b val="1"/>
      <sz val="10"/>
    </font>
    <font>
      <name val="Meiryo"/>
      <b val="1"/>
      <color rgb="00FFFFFF"/>
      <sz val="10"/>
    </font>
    <font>
      <name val="Meiryo"/>
      <color rgb="001A1A1A"/>
      <sz val="10"/>
    </font>
    <font>
      <name val="Meiryo"/>
      <sz val="10"/>
    </font>
    <font>
      <name val="Meiryo"/>
      <color rgb="00B04A3C"/>
      <sz val="9"/>
    </font>
    <font>
      <name val="Meiryo"/>
      <b val="1"/>
      <color rgb="002C5F2D"/>
      <sz val="10"/>
    </font>
    <font>
      <name val="Meiryo"/>
      <b val="1"/>
      <color rgb="002C5F2D"/>
      <sz val="16"/>
    </font>
    <font>
      <name val="Meiryo"/>
      <b val="1"/>
      <color rgb="002C5F2D"/>
      <sz val="12.5"/>
    </font>
    <font>
      <name val="Meiryo"/>
      <b val="1"/>
      <color rgb="00767676"/>
      <sz val="9.5"/>
    </font>
    <font>
      <name val="Meiryo"/>
      <b val="1"/>
      <color rgb="002C5F2D"/>
      <sz val="24"/>
    </font>
    <font>
      <name val="Meiryo"/>
      <color rgb="00767676"/>
      <sz val="8.5"/>
    </font>
    <font>
      <name val="Meiryo"/>
      <b val="1"/>
      <color rgb="001A1A1A"/>
      <sz val="24"/>
    </font>
    <font>
      <name val="Meiryo"/>
      <b val="1"/>
      <color rgb="00C87941"/>
      <sz val="22"/>
    </font>
    <font>
      <name val="Meiryo"/>
      <b val="1"/>
      <color rgb="00B04A3C"/>
      <sz val="22"/>
    </font>
    <font>
      <name val="Meiryo"/>
      <b val="1"/>
      <color rgb="001A1A1A"/>
      <sz val="10.5"/>
    </font>
    <font>
      <name val="Meiryo"/>
      <b val="1"/>
      <color rgb="002C5F2D"/>
      <sz val="22"/>
    </font>
    <font>
      <name val="Meiryo"/>
      <b val="1"/>
      <color rgb="001A1A1A"/>
      <sz val="22"/>
    </font>
    <font>
      <name val="Meiryo"/>
      <b val="1"/>
      <color rgb="002C5F2D"/>
      <sz val="20"/>
    </font>
    <font>
      <name val="Meiryo"/>
      <b val="1"/>
      <color rgb="001A1A1A"/>
      <sz val="20"/>
    </font>
    <font>
      <name val="Meiryo"/>
      <b val="1"/>
      <color rgb="00B04A3C"/>
      <sz val="20"/>
    </font>
    <font>
      <name val="Meiryo"/>
      <b val="1"/>
      <color rgb="00B04A3C"/>
      <sz val="24"/>
    </font>
    <font>
      <name val="Meiryo"/>
      <b val="1"/>
      <color rgb="00B04A3C"/>
      <sz val="10"/>
    </font>
    <font>
      <name val="Meiryo"/>
      <b val="1"/>
      <color rgb="00767676"/>
      <sz val="10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C5F2D"/>
      </patternFill>
    </fill>
    <fill>
      <patternFill patternType="solid">
        <fgColor rgb="00EBF3EA"/>
      </patternFill>
    </fill>
    <fill>
      <patternFill patternType="solid">
        <fgColor rgb="00FFF8DC"/>
      </patternFill>
    </fill>
    <fill>
      <patternFill patternType="solid">
        <fgColor rgb="00F4F6F1"/>
      </patternFill>
    </fill>
    <fill>
      <patternFill patternType="solid">
        <fgColor rgb="00FBEDEB"/>
      </patternFill>
    </fill>
  </fills>
  <borders count="17">
    <border>
      <left/>
      <right/>
      <top/>
      <bottom/>
      <diagonal/>
    </border>
    <border>
      <left style="thin">
        <color rgb="00DCE3D5"/>
      </left>
      <right style="thin">
        <color rgb="00DCE3D5"/>
      </right>
      <top style="thin">
        <color rgb="00DCE3D5"/>
      </top>
      <bottom style="thin">
        <color rgb="00DCE3D5"/>
      </bottom>
    </border>
    <border>
      <left style="thin">
        <color rgb="00E8D9A0"/>
      </left>
      <right style="thin">
        <color rgb="00E8D9A0"/>
      </right>
      <top style="thin">
        <color rgb="00E8D9A0"/>
      </top>
      <bottom style="thin">
        <color rgb="00E8D9A0"/>
      </bottom>
    </border>
    <border>
      <left style="thin">
        <color rgb="00C3DCC2"/>
      </left>
      <right style="thin">
        <color rgb="00C3DCC2"/>
      </right>
      <top style="thin">
        <color rgb="00C3DCC2"/>
      </top>
      <bottom style="thin">
        <color rgb="00C3DCC2"/>
      </bottom>
    </border>
    <border>
      <left/>
      <right/>
      <top style="thin">
        <color rgb="00C3DCC2"/>
      </top>
      <bottom/>
      <diagonal/>
    </border>
    <border>
      <left/>
      <right style="thin">
        <color rgb="00C3DCC2"/>
      </right>
      <top style="thin">
        <color rgb="00C3DCC2"/>
      </top>
      <bottom/>
      <diagonal/>
    </border>
    <border>
      <left/>
      <right/>
      <top style="thin">
        <color rgb="00C3DCC2"/>
      </top>
      <bottom style="thin">
        <color rgb="00C3DCC2"/>
      </bottom>
      <diagonal/>
    </border>
    <border>
      <left/>
      <right style="thin">
        <color rgb="00C3DCC2"/>
      </right>
      <top style="thin">
        <color rgb="00C3DCC2"/>
      </top>
      <bottom style="thin">
        <color rgb="00C3DCC2"/>
      </bottom>
      <diagonal/>
    </border>
    <border>
      <left/>
      <right/>
      <top style="thin">
        <color rgb="00DCE3D5"/>
      </top>
      <bottom/>
      <diagonal/>
    </border>
    <border>
      <left/>
      <right style="thin">
        <color rgb="00DCE3D5"/>
      </right>
      <top style="thin">
        <color rgb="00DCE3D5"/>
      </top>
      <bottom/>
      <diagonal/>
    </border>
    <border>
      <left/>
      <right/>
      <top style="thin">
        <color rgb="00DCE3D5"/>
      </top>
      <bottom style="thin">
        <color rgb="00DCE3D5"/>
      </bottom>
      <diagonal/>
    </border>
    <border>
      <left/>
      <right style="thin">
        <color rgb="00DCE3D5"/>
      </right>
      <top style="thin">
        <color rgb="00DCE3D5"/>
      </top>
      <bottom style="thin">
        <color rgb="00DCE3D5"/>
      </bottom>
      <diagonal/>
    </border>
    <border>
      <left style="thin">
        <color rgb="00EBCFC9"/>
      </left>
      <right style="thin">
        <color rgb="00EBCFC9"/>
      </right>
      <top style="thin">
        <color rgb="00EBCFC9"/>
      </top>
      <bottom style="thin">
        <color rgb="00EBCFC9"/>
      </bottom>
    </border>
    <border>
      <left/>
      <right/>
      <top style="thin">
        <color rgb="00EBCFC9"/>
      </top>
      <bottom/>
      <diagonal/>
    </border>
    <border>
      <left/>
      <right style="thin">
        <color rgb="00EBCFC9"/>
      </right>
      <top style="thin">
        <color rgb="00EBCFC9"/>
      </top>
      <bottom/>
      <diagonal/>
    </border>
    <border>
      <left/>
      <right/>
      <top style="thin">
        <color rgb="00EBCFC9"/>
      </top>
      <bottom style="thin">
        <color rgb="00EBCFC9"/>
      </bottom>
      <diagonal/>
    </border>
    <border>
      <left/>
      <right style="thin">
        <color rgb="00EBCFC9"/>
      </right>
      <top style="thin">
        <color rgb="00EBCFC9"/>
      </top>
      <bottom style="thin">
        <color rgb="00EBCFC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13" fillId="0" borderId="0" applyAlignment="1" pivotButton="0" quotePrefix="0" xfId="0">
      <alignment vertical="center"/>
    </xf>
    <xf numFmtId="0" fontId="5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4" fillId="4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4" fillId="6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164" fontId="15" fillId="4" borderId="3" applyAlignment="1" pivotButton="0" quotePrefix="0" xfId="0">
      <alignment horizontal="center" vertical="center"/>
    </xf>
    <xf numFmtId="164" fontId="17" fillId="6" borderId="1" applyAlignment="1" pivotButton="0" quotePrefix="0" xfId="0">
      <alignment horizontal="center" vertical="center"/>
    </xf>
    <xf numFmtId="165" fontId="15" fillId="4" borderId="3" applyAlignment="1" pivotButton="0" quotePrefix="0" xfId="0">
      <alignment horizontal="center" vertical="center"/>
    </xf>
    <xf numFmtId="166" fontId="15" fillId="4" borderId="3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3" fontId="15" fillId="4" borderId="3" applyAlignment="1" pivotButton="0" quotePrefix="0" xfId="0">
      <alignment horizontal="center" vertical="center"/>
    </xf>
    <xf numFmtId="3" fontId="17" fillId="6" borderId="1" applyAlignment="1" pivotButton="0" quotePrefix="0" xfId="0">
      <alignment horizontal="center" vertical="center"/>
    </xf>
    <xf numFmtId="0" fontId="14" fillId="7" borderId="1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165" fontId="18" fillId="6" borderId="1" applyAlignment="1" pivotButton="0" quotePrefix="0" xfId="0">
      <alignment horizontal="center" vertical="center"/>
    </xf>
    <xf numFmtId="167" fontId="19" fillId="7" borderId="12" applyAlignment="1" pivotButton="0" quotePrefix="0" xfId="0">
      <alignment horizontal="center" vertical="center"/>
    </xf>
    <xf numFmtId="0" fontId="16" fillId="7" borderId="12" applyAlignment="1" pivotButton="0" quotePrefix="0" xfId="0">
      <alignment horizontal="center" vertical="center" wrapText="1"/>
    </xf>
    <xf numFmtId="0" fontId="20" fillId="0" borderId="0" pivotButton="0" quotePrefix="0" xfId="0"/>
    <xf numFmtId="164" fontId="21" fillId="4" borderId="3" applyAlignment="1" pivotButton="0" quotePrefix="0" xfId="0">
      <alignment horizontal="center" vertical="center"/>
    </xf>
    <xf numFmtId="164" fontId="22" fillId="6" borderId="1" applyAlignment="1" pivotButton="0" quotePrefix="0" xfId="0">
      <alignment horizontal="center" vertical="center"/>
    </xf>
    <xf numFmtId="3" fontId="22" fillId="6" borderId="1" applyAlignment="1" pivotButton="0" quotePrefix="0" xfId="0">
      <alignment horizontal="center" vertical="center"/>
    </xf>
    <xf numFmtId="164" fontId="23" fillId="4" borderId="3" applyAlignment="1" pivotButton="0" quotePrefix="0" xfId="0">
      <alignment horizontal="center" vertical="center"/>
    </xf>
    <xf numFmtId="164" fontId="24" fillId="6" borderId="1" applyAlignment="1" pivotButton="0" quotePrefix="0" xfId="0">
      <alignment horizontal="center" vertical="center"/>
    </xf>
    <xf numFmtId="164" fontId="25" fillId="7" borderId="12" applyAlignment="1" pivotButton="0" quotePrefix="0" xfId="0">
      <alignment horizontal="center" vertical="center"/>
    </xf>
    <xf numFmtId="3" fontId="26" fillId="7" borderId="12" applyAlignment="1" pivotButton="0" quotePrefix="0" xfId="0">
      <alignment horizontal="center" vertical="center"/>
    </xf>
    <xf numFmtId="164" fontId="26" fillId="7" borderId="12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1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49" fontId="5" fillId="2" borderId="1" pivotButton="0" quotePrefix="0" xfId="0"/>
    <xf numFmtId="164" fontId="5" fillId="2" borderId="1" pivotButton="0" quotePrefix="0" xfId="0"/>
    <xf numFmtId="3" fontId="5" fillId="2" borderId="1" pivotButton="0" quotePrefix="0" xfId="0"/>
    <xf numFmtId="3" fontId="5" fillId="0" borderId="1" pivotButton="0" quotePrefix="0" xfId="0"/>
    <xf numFmtId="165" fontId="6" fillId="0" borderId="1" pivotButton="0" quotePrefix="0" xfId="0"/>
    <xf numFmtId="49" fontId="5" fillId="0" borderId="1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pivotButton="0" quotePrefix="0" xfId="0"/>
    <xf numFmtId="164" fontId="5" fillId="0" borderId="1" pivotButton="0" quotePrefix="0" xfId="0"/>
    <xf numFmtId="166" fontId="9" fillId="0" borderId="1" pivotButton="0" quotePrefix="0" xfId="0"/>
    <xf numFmtId="0" fontId="4" fillId="4" borderId="1" pivotButton="0" quotePrefix="0" xfId="0"/>
    <xf numFmtId="164" fontId="6" fillId="4" borderId="1" pivotButton="0" quotePrefix="0" xfId="0"/>
    <xf numFmtId="166" fontId="6" fillId="4" borderId="1" pivotButton="0" quotePrefix="0" xfId="0"/>
    <xf numFmtId="3" fontId="6" fillId="4" borderId="1" pivotButton="0" quotePrefix="0" xfId="0"/>
    <xf numFmtId="0" fontId="10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9" fillId="2" borderId="0" pivotButton="0" quotePrefix="0" xfId="0"/>
    <xf numFmtId="0" fontId="7" fillId="3" borderId="1" applyAlignment="1" pivotButton="0" quotePrefix="0" xfId="0">
      <alignment horizontal="center"/>
    </xf>
    <xf numFmtId="0" fontId="9" fillId="0" borderId="1" pivotButton="0" quotePrefix="0" xfId="0"/>
    <xf numFmtId="165" fontId="9" fillId="0" borderId="1" pivotButton="0" quotePrefix="0" xfId="0"/>
    <xf numFmtId="0" fontId="11" fillId="0" borderId="0" pivotButton="0" quotePrefix="0" xfId="0"/>
    <xf numFmtId="164" fontId="9" fillId="0" borderId="1" pivotButton="0" quotePrefix="0" xfId="0"/>
    <xf numFmtId="0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月次目標に対する進捗率（当月完了予定分）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'グラフ用データ'!B4</f>
            </strRef>
          </tx>
          <spPr>
            <a:solidFill>
              <a:srgbClr val="2E8B57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'グラフ用データ'!$A$5:$A$7</f>
            </numRef>
          </cat>
          <val>
            <numRef>
              <f>'グラフ用データ'!$B$5:$B$7</f>
            </numRef>
          </val>
        </ser>
        <ser>
          <idx val="1"/>
          <order val="1"/>
          <tx>
            <strRef>
              <f>'グラフ用データ'!C4</f>
            </strRef>
          </tx>
          <spPr>
            <a:solidFill>
              <a:srgbClr val="E09B22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'グラフ用データ'!$A$5:$A$7</f>
            </numRef>
          </cat>
          <val>
            <numRef>
              <f>'グラフ用データ'!$C$5:$C$7</f>
            </numRef>
          </val>
        </ser>
        <dLbls>
          <numFmt formatCode="0.0%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AB昇格額（正味）の時期別構成　先週 → 今週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'グラフ用データ'!B10</f>
            </strRef>
          </tx>
          <spPr>
            <a:solidFill>
              <a:srgbClr val="2E8B57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'グラフ用データ'!$A$11:$A$12</f>
            </numRef>
          </cat>
          <val>
            <numRef>
              <f>'グラフ用データ'!$B$11:$B$12</f>
            </numRef>
          </val>
        </ser>
        <ser>
          <idx val="1"/>
          <order val="1"/>
          <tx>
            <strRef>
              <f>'グラフ用データ'!C10</f>
            </strRef>
          </tx>
          <spPr>
            <a:solidFill>
              <a:srgbClr val="E09B22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'グラフ用データ'!$A$11:$A$12</f>
            </numRef>
          </cat>
          <val>
            <numRef>
              <f>'グラフ用データ'!$C$11:$C$12</f>
            </numRef>
          </val>
        </ser>
        <ser>
          <idx val="2"/>
          <order val="2"/>
          <tx>
            <strRef>
              <f>'グラフ用データ'!D10</f>
            </strRef>
          </tx>
          <spPr>
            <a:solidFill>
              <a:srgbClr val="3B7DD8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'グラフ用データ'!$A$11:$A$12</f>
            </numRef>
          </cat>
          <val>
            <numRef>
              <f>'グラフ用データ'!$D$11:$D$12</f>
            </numRef>
          </val>
        </ser>
        <ser>
          <idx val="3"/>
          <order val="3"/>
          <tx>
            <strRef>
              <f>'グラフ用データ'!E10</f>
            </strRef>
          </tx>
          <spPr>
            <a:solidFill>
              <a:srgbClr val="C0453E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'グラフ用データ'!$A$11:$A$12</f>
            </numRef>
          </cat>
          <val>
            <numRef>
              <f>'グラフ用データ'!$E$11:$E$12</f>
            </numRef>
          </val>
        </ser>
        <dLbls>
          <numFmt formatCode="#,##0"/>
          <showLegendKey val="0"/>
          <showVal val="1"/>
          <showCatName val="0"/>
          <showSerName val="0"/>
          <showPercent val="0"/>
        </dLbls>
        <gapWidth val="6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商談発生額の時期別構成　先週 → 今週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'グラフ用データ'!B15</f>
            </strRef>
          </tx>
          <spPr>
            <a:solidFill>
              <a:srgbClr val="2E8B57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'グラフ用データ'!$A$16:$A$17</f>
            </numRef>
          </cat>
          <val>
            <numRef>
              <f>'グラフ用データ'!$B$16:$B$17</f>
            </numRef>
          </val>
        </ser>
        <ser>
          <idx val="1"/>
          <order val="1"/>
          <tx>
            <strRef>
              <f>'グラフ用データ'!C15</f>
            </strRef>
          </tx>
          <spPr>
            <a:solidFill>
              <a:srgbClr val="E09B22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'グラフ用データ'!$A$16:$A$17</f>
            </numRef>
          </cat>
          <val>
            <numRef>
              <f>'グラフ用データ'!$C$16:$C$17</f>
            </numRef>
          </val>
        </ser>
        <ser>
          <idx val="2"/>
          <order val="2"/>
          <tx>
            <strRef>
              <f>'グラフ用データ'!D15</f>
            </strRef>
          </tx>
          <spPr>
            <a:solidFill>
              <a:srgbClr val="3B7DD8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'グラフ用データ'!$A$16:$A$17</f>
            </numRef>
          </cat>
          <val>
            <numRef>
              <f>'グラフ用データ'!$D$16:$D$17</f>
            </numRef>
          </val>
        </ser>
        <ser>
          <idx val="3"/>
          <order val="3"/>
          <tx>
            <strRef>
              <f>'グラフ用データ'!E15</f>
            </strRef>
          </tx>
          <spPr>
            <a:solidFill>
              <a:srgbClr val="C0453E"/>
            </a:solidFill>
            <a:ln w="19050">
              <a:solidFill>
                <a:srgbClr val="FFFFFF"/>
              </a:solidFill>
              <a:prstDash val="solid"/>
            </a:ln>
          </spPr>
          <cat>
            <numRef>
              <f>'グラフ用データ'!$A$16:$A$17</f>
            </numRef>
          </cat>
          <val>
            <numRef>
              <f>'グラフ用データ'!$E$16:$E$17</f>
            </numRef>
          </val>
        </ser>
        <dLbls>
          <numFmt formatCode="#,##0"/>
          <showLegendKey val="0"/>
          <showVal val="1"/>
          <showCatName val="0"/>
          <showSerName val="0"/>
          <showPercent val="0"/>
        </dLbls>
        <gapWidth val="6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28</row>
      <rowOff>0</rowOff>
    </from>
    <ext cx="9000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58</row>
      <rowOff>0</rowOff>
    </from>
    <ext cx="9000000" cy="273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73</row>
      <rowOff>0</rowOff>
    </from>
    <ext cx="9000000" cy="273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1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2" customWidth="1" min="1" max="1"/>
    <col width="11.4" customWidth="1" min="2" max="2"/>
    <col width="11.4" customWidth="1" min="3" max="3"/>
    <col width="11.4" customWidth="1" min="4" max="4"/>
    <col width="11.4" customWidth="1" min="5" max="5"/>
    <col width="11.4" customWidth="1" min="6" max="6"/>
    <col width="11.4" customWidth="1" min="7" max="7"/>
    <col width="11.4" customWidth="1" min="8" max="8"/>
    <col width="11.4" customWidth="1" min="9" max="9"/>
    <col width="11.4" customWidth="1" min="10" max="10"/>
    <col width="11.4" customWidth="1" min="11" max="11"/>
    <col width="11.4" customWidth="1" min="12" max="12"/>
    <col width="11.4" customWidth="1" min="13" max="13"/>
    <col width="2.2" customWidth="1" min="14" max="14"/>
  </cols>
  <sheetData>
    <row r="2" ht="30" customHeight="1">
      <c r="B2" s="1" t="inlineStr">
        <is>
          <t>営業 週次報告</t>
        </is>
      </c>
    </row>
    <row r="3">
      <c r="B3" s="2">
        <f>"対象月 "&amp;入力!B5&amp;"　／　比較： "&amp;入力!B14&amp;" → "&amp;入力!B15&amp;"　／　単位：千円　／　経過 "&amp;入力!B10&amp;" / "&amp;入力!B9&amp;" 営業日"</f>
        <v/>
      </c>
    </row>
    <row r="5" ht="27" customHeight="1">
      <c r="B5" s="3" t="inlineStr">
        <is>
          <t>１．今週のハイライト</t>
        </is>
      </c>
    </row>
    <row r="6" ht="15" customHeight="1">
      <c r="B6" s="2" t="inlineStr">
        <is>
          <t>1〜2文。数字の根拠は②以降に置く。</t>
        </is>
      </c>
    </row>
    <row r="7" ht="18" customHeight="1">
      <c r="B7" s="4" t="inlineStr">
        <is>
          <t>【要記入】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18" customHeight="1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 ht="18" customHeight="1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1" ht="27" customHeight="1">
      <c r="B11" s="3" t="inlineStr">
        <is>
          <t>２．数字サマリー</t>
        </is>
      </c>
    </row>
    <row r="12" ht="15" customHeight="1">
      <c r="B12" s="2" t="inlineStr">
        <is>
          <t>目標・実績・先週比・進捗率。必要進捗率は 経過営業日 ÷ 当月営業日 です。</t>
        </is>
      </c>
    </row>
    <row r="13" ht="17" customHeight="1">
      <c r="B13" s="6" t="inlineStr">
        <is>
          <t>AB昇格額（正味）実績</t>
        </is>
      </c>
      <c r="C13" s="7" t="n"/>
      <c r="D13" s="8" t="n"/>
      <c r="E13" s="9" t="inlineStr">
        <is>
          <t>月次目標</t>
        </is>
      </c>
      <c r="F13" s="10" t="n"/>
      <c r="G13" s="11" t="n"/>
      <c r="H13" s="6" t="inlineStr">
        <is>
          <t>進捗率</t>
        </is>
      </c>
      <c r="I13" s="7" t="n"/>
      <c r="J13" s="8" t="n"/>
      <c r="K13" s="6" t="inlineStr">
        <is>
          <t>先週比</t>
        </is>
      </c>
      <c r="L13" s="7" t="n"/>
      <c r="M13" s="8" t="n"/>
    </row>
    <row r="14" ht="34" customHeight="1">
      <c r="B14" s="12">
        <f>入力!C19</f>
        <v/>
      </c>
      <c r="C14" s="7" t="n"/>
      <c r="D14" s="8" t="n"/>
      <c r="E14" s="13">
        <f>入力!B6</f>
        <v/>
      </c>
      <c r="F14" s="10" t="n"/>
      <c r="G14" s="11" t="n"/>
      <c r="H14" s="14">
        <f>IFERROR(入力!C19/入力!B6,0)</f>
        <v/>
      </c>
      <c r="I14" s="7" t="n"/>
      <c r="J14" s="8" t="n"/>
      <c r="K14" s="15">
        <f>入力!D19</f>
        <v/>
      </c>
      <c r="L14" s="7" t="n"/>
      <c r="M14" s="8" t="n"/>
    </row>
    <row r="15" ht="24" customHeight="1">
      <c r="B15" s="16" t="inlineStr">
        <is>
          <t>当月完了予定分</t>
        </is>
      </c>
      <c r="C15" s="7" t="n"/>
      <c r="D15" s="8" t="n"/>
      <c r="E15" s="17" t="inlineStr">
        <is>
          <t>13,369千円</t>
        </is>
      </c>
      <c r="F15" s="10" t="n"/>
      <c r="G15" s="11" t="n"/>
      <c r="H15" s="16" t="inlineStr">
        <is>
          <t>実績 ÷ 目標</t>
        </is>
      </c>
      <c r="I15" s="7" t="n"/>
      <c r="J15" s="8" t="n"/>
      <c r="K15" s="16" t="inlineStr">
        <is>
          <t>当月分の増減</t>
        </is>
      </c>
      <c r="L15" s="7" t="n"/>
      <c r="M15" s="8" t="n"/>
    </row>
    <row r="17" ht="17" customHeight="1">
      <c r="B17" s="6" t="inlineStr">
        <is>
          <t>商談獲得 有効件数</t>
        </is>
      </c>
      <c r="C17" s="7" t="n"/>
      <c r="D17" s="8" t="n"/>
      <c r="E17" s="9" t="inlineStr">
        <is>
          <t>月次目標</t>
        </is>
      </c>
      <c r="F17" s="10" t="n"/>
      <c r="G17" s="11" t="n"/>
      <c r="H17" s="6" t="inlineStr">
        <is>
          <t>進捗率</t>
        </is>
      </c>
      <c r="I17" s="7" t="n"/>
      <c r="J17" s="8" t="n"/>
      <c r="K17" s="6" t="inlineStr">
        <is>
          <t>先週比</t>
        </is>
      </c>
      <c r="L17" s="7" t="n"/>
      <c r="M17" s="8" t="n"/>
    </row>
    <row r="18" ht="34" customHeight="1">
      <c r="B18" s="18">
        <f>入力!C27</f>
        <v/>
      </c>
      <c r="C18" s="7" t="n"/>
      <c r="D18" s="8" t="n"/>
      <c r="E18" s="19">
        <f>入力!B7</f>
        <v/>
      </c>
      <c r="F18" s="10" t="n"/>
      <c r="G18" s="11" t="n"/>
      <c r="H18" s="14">
        <f>IFERROR(入力!C27/入力!B7,0)</f>
        <v/>
      </c>
      <c r="I18" s="7" t="n"/>
      <c r="J18" s="8" t="n"/>
      <c r="K18" s="15">
        <f>入力!D27</f>
        <v/>
      </c>
      <c r="L18" s="7" t="n"/>
      <c r="M18" s="8" t="n"/>
    </row>
    <row r="19" ht="24" customHeight="1">
      <c r="B19" s="16" t="inlineStr">
        <is>
          <t>当月完了予定分</t>
        </is>
      </c>
      <c r="C19" s="7" t="n"/>
      <c r="D19" s="8" t="n"/>
      <c r="E19" s="17" t="inlineStr">
        <is>
          <t>23件</t>
        </is>
      </c>
      <c r="F19" s="10" t="n"/>
      <c r="G19" s="11" t="n"/>
      <c r="H19" s="16" t="inlineStr">
        <is>
          <t>実績 ÷ 目標</t>
        </is>
      </c>
      <c r="I19" s="7" t="n"/>
      <c r="J19" s="8" t="n"/>
      <c r="K19" s="16" t="inlineStr">
        <is>
          <t>当月分の増減</t>
        </is>
      </c>
      <c r="L19" s="7" t="n"/>
      <c r="M19" s="8" t="n"/>
    </row>
    <row r="21" ht="17" customHeight="1">
      <c r="B21" s="6" t="inlineStr">
        <is>
          <t>商談発生額 実績</t>
        </is>
      </c>
      <c r="C21" s="7" t="n"/>
      <c r="D21" s="8" t="n"/>
      <c r="E21" s="9" t="inlineStr">
        <is>
          <t>月次目標</t>
        </is>
      </c>
      <c r="F21" s="10" t="n"/>
      <c r="G21" s="11" t="n"/>
      <c r="H21" s="6" t="inlineStr">
        <is>
          <t>進捗率</t>
        </is>
      </c>
      <c r="I21" s="7" t="n"/>
      <c r="J21" s="8" t="n"/>
      <c r="K21" s="6" t="inlineStr">
        <is>
          <t>先週比</t>
        </is>
      </c>
      <c r="L21" s="7" t="n"/>
      <c r="M21" s="8" t="n"/>
    </row>
    <row r="22" ht="34" customHeight="1">
      <c r="B22" s="12">
        <f>入力!C35</f>
        <v/>
      </c>
      <c r="C22" s="7" t="n"/>
      <c r="D22" s="8" t="n"/>
      <c r="E22" s="13">
        <f>入力!B8</f>
        <v/>
      </c>
      <c r="F22" s="10" t="n"/>
      <c r="G22" s="11" t="n"/>
      <c r="H22" s="14">
        <f>IFERROR(入力!C35/入力!B8,0)</f>
        <v/>
      </c>
      <c r="I22" s="7" t="n"/>
      <c r="J22" s="8" t="n"/>
      <c r="K22" s="15">
        <f>入力!D35</f>
        <v/>
      </c>
      <c r="L22" s="7" t="n"/>
      <c r="M22" s="8" t="n"/>
    </row>
    <row r="23" ht="24" customHeight="1">
      <c r="B23" s="16" t="inlineStr">
        <is>
          <t>当月完了予定分</t>
        </is>
      </c>
      <c r="C23" s="7" t="n"/>
      <c r="D23" s="8" t="n"/>
      <c r="E23" s="17" t="inlineStr">
        <is>
          <t>69,000千円</t>
        </is>
      </c>
      <c r="F23" s="10" t="n"/>
      <c r="G23" s="11" t="n"/>
      <c r="H23" s="16" t="inlineStr">
        <is>
          <t>実績 ÷ 目標</t>
        </is>
      </c>
      <c r="I23" s="7" t="n"/>
      <c r="J23" s="8" t="n"/>
      <c r="K23" s="16" t="inlineStr">
        <is>
          <t>当月分の増減</t>
        </is>
      </c>
      <c r="L23" s="7" t="n"/>
      <c r="M23" s="8" t="n"/>
    </row>
    <row r="25" ht="17" customHeight="1">
      <c r="B25" s="9" t="inlineStr">
        <is>
          <t>必要進捗率（今週時点）</t>
        </is>
      </c>
      <c r="C25" s="10" t="n"/>
      <c r="D25" s="11" t="n"/>
      <c r="E25" s="20" t="inlineStr">
        <is>
          <t>AB昇格額の過不足</t>
        </is>
      </c>
      <c r="F25" s="21" t="n"/>
      <c r="G25" s="22" t="n"/>
      <c r="H25" s="20" t="inlineStr">
        <is>
          <t>商談件数の過不足</t>
        </is>
      </c>
      <c r="I25" s="21" t="n"/>
      <c r="J25" s="22" t="n"/>
      <c r="K25" s="20" t="inlineStr">
        <is>
          <t>商談発生額の過不足</t>
        </is>
      </c>
      <c r="L25" s="21" t="n"/>
      <c r="M25" s="22" t="n"/>
    </row>
    <row r="26" ht="34" customHeight="1">
      <c r="B26" s="23">
        <f>入力!B11</f>
        <v/>
      </c>
      <c r="C26" s="10" t="n"/>
      <c r="D26" s="11" t="n"/>
      <c r="E26" s="24">
        <f>IFERROR(入力!C19/入力!B6,0)-入力!B11</f>
        <v/>
      </c>
      <c r="F26" s="21" t="n"/>
      <c r="G26" s="22" t="n"/>
      <c r="H26" s="24">
        <f>IFERROR(入力!C27/入力!B7,0)-入力!B11</f>
        <v/>
      </c>
      <c r="I26" s="21" t="n"/>
      <c r="J26" s="22" t="n"/>
      <c r="K26" s="24">
        <f>IFERROR(入力!C35/入力!B8,0)-入力!B11</f>
        <v/>
      </c>
      <c r="L26" s="21" t="n"/>
      <c r="M26" s="22" t="n"/>
    </row>
    <row r="27" ht="24" customHeight="1">
      <c r="B27" s="17" t="inlineStr">
        <is>
          <t>経過営業日 ÷ 当月営業日</t>
        </is>
      </c>
      <c r="C27" s="10" t="n"/>
      <c r="D27" s="11" t="n"/>
      <c r="E27" s="25" t="inlineStr">
        <is>
          <t>進捗率 − 必要進捗率</t>
        </is>
      </c>
      <c r="F27" s="21" t="n"/>
      <c r="G27" s="22" t="n"/>
      <c r="H27" s="25" t="inlineStr">
        <is>
          <t>進捗率 − 必要進捗率</t>
        </is>
      </c>
      <c r="I27" s="21" t="n"/>
      <c r="J27" s="22" t="n"/>
      <c r="K27" s="25" t="inlineStr">
        <is>
          <t>進捗率 − 必要進捗率</t>
        </is>
      </c>
      <c r="L27" s="21" t="n"/>
      <c r="M27" s="22" t="n"/>
    </row>
    <row r="44" ht="20" customHeight="1">
      <c r="B44" s="26" t="inlineStr">
        <is>
          <t>玉の増減（先週 → 今週）</t>
        </is>
      </c>
    </row>
    <row r="45" ht="17" customHeight="1">
      <c r="B45" s="6" t="inlineStr">
        <is>
          <t>AB玉 残高</t>
        </is>
      </c>
      <c r="C45" s="7" t="n"/>
      <c r="D45" s="8" t="n"/>
      <c r="E45" s="9" t="inlineStr">
        <is>
          <t>CD玉 残高</t>
        </is>
      </c>
      <c r="F45" s="10" t="n"/>
      <c r="G45" s="11" t="n"/>
      <c r="H45" s="6" t="inlineStr">
        <is>
          <t>総玉 残高</t>
        </is>
      </c>
      <c r="I45" s="7" t="n"/>
      <c r="J45" s="8" t="n"/>
      <c r="K45" s="9" t="inlineStr">
        <is>
          <t>商談件数</t>
        </is>
      </c>
      <c r="L45" s="10" t="n"/>
      <c r="M45" s="11" t="n"/>
    </row>
    <row r="46" ht="34" customHeight="1">
      <c r="B46" s="27">
        <f>入力!C43</f>
        <v/>
      </c>
      <c r="C46" s="7" t="n"/>
      <c r="D46" s="8" t="n"/>
      <c r="E46" s="28">
        <f>入力!C44</f>
        <v/>
      </c>
      <c r="F46" s="10" t="n"/>
      <c r="G46" s="11" t="n"/>
      <c r="H46" s="27">
        <f>入力!C45</f>
        <v/>
      </c>
      <c r="I46" s="7" t="n"/>
      <c r="J46" s="8" t="n"/>
      <c r="K46" s="29">
        <f>入力!C46</f>
        <v/>
      </c>
      <c r="L46" s="10" t="n"/>
      <c r="M46" s="11" t="n"/>
    </row>
    <row r="47" ht="24" customHeight="1">
      <c r="B47" s="16">
        <f>"先週比 "&amp;TEXT(入力!D43,"+#,##0;-#,##0;0")</f>
        <v/>
      </c>
      <c r="C47" s="7" t="n"/>
      <c r="D47" s="8" t="n"/>
      <c r="E47" s="17">
        <f>"先週比 "&amp;TEXT(入力!D44,"+#,##0;-#,##0;0")</f>
        <v/>
      </c>
      <c r="F47" s="10" t="n"/>
      <c r="G47" s="11" t="n"/>
      <c r="H47" s="16">
        <f>"先週比 "&amp;TEXT(入力!D45,"+#,##0;-#,##0;0")</f>
        <v/>
      </c>
      <c r="I47" s="7" t="n"/>
      <c r="J47" s="8" t="n"/>
      <c r="K47" s="17">
        <f>"先週比 "&amp;TEXT(入力!D46,"+#,##0;-#,##0;0")&amp;"件"</f>
        <v/>
      </c>
      <c r="L47" s="10" t="n"/>
      <c r="M47" s="11" t="n"/>
    </row>
    <row r="49" ht="27" customHeight="1">
      <c r="B49" s="3" t="inlineStr">
        <is>
          <t>３．時期別の内訳</t>
        </is>
      </c>
    </row>
    <row r="50" ht="15" customHeight="1">
      <c r="B50" s="2" t="inlineStr">
        <is>
          <t>当月・来月以降・来期のどこに積み上がっているか。完了予定日が未入力の商談は進捗率の分子から漏れます。</t>
        </is>
      </c>
    </row>
    <row r="51" ht="17" customHeight="1">
      <c r="B51" s="6" t="inlineStr">
        <is>
          <t>AB昇格額｜当月</t>
        </is>
      </c>
      <c r="C51" s="8" t="n"/>
      <c r="D51" s="9" t="inlineStr">
        <is>
          <t>来月以降（今期）</t>
        </is>
      </c>
      <c r="E51" s="11" t="n"/>
      <c r="F51" s="9" t="inlineStr">
        <is>
          <t>来期</t>
        </is>
      </c>
      <c r="G51" s="11" t="n"/>
      <c r="H51" s="20" t="inlineStr">
        <is>
          <t>完了日 未入力</t>
        </is>
      </c>
      <c r="I51" s="22" t="n"/>
      <c r="J51" s="6" t="inlineStr">
        <is>
          <t>合計</t>
        </is>
      </c>
      <c r="K51" s="7" t="n"/>
      <c r="L51" s="7" t="n"/>
      <c r="M51" s="8" t="n"/>
    </row>
    <row r="52" ht="34" customHeight="1">
      <c r="B52" s="30">
        <f>入力!C19</f>
        <v/>
      </c>
      <c r="C52" s="8" t="n"/>
      <c r="D52" s="31">
        <f>入力!C20</f>
        <v/>
      </c>
      <c r="E52" s="11" t="n"/>
      <c r="F52" s="31">
        <f>入力!C21</f>
        <v/>
      </c>
      <c r="G52" s="11" t="n"/>
      <c r="H52" s="32">
        <f>入力!C22</f>
        <v/>
      </c>
      <c r="I52" s="22" t="n"/>
      <c r="J52" s="30">
        <f>入力!C23</f>
        <v/>
      </c>
      <c r="K52" s="7" t="n"/>
      <c r="L52" s="7" t="n"/>
      <c r="M52" s="8" t="n"/>
    </row>
    <row r="53" ht="24" customHeight="1">
      <c r="B53" s="16">
        <f>"先週比 "&amp;TEXT(入力!D19,"+#,##0;-#,##0;0")</f>
        <v/>
      </c>
      <c r="C53" s="8" t="n"/>
      <c r="D53" s="17">
        <f>"先週比 "&amp;TEXT(入力!D20,"+#,##0;-#,##0;0")</f>
        <v/>
      </c>
      <c r="E53" s="11" t="n"/>
      <c r="F53" s="17">
        <f>"先週比 "&amp;TEXT(入力!D21,"+#,##0;-#,##0;0")</f>
        <v/>
      </c>
      <c r="G53" s="11" t="n"/>
      <c r="H53" s="25">
        <f>"先週比 "&amp;TEXT(入力!D22,"+#,##0;-#,##0;0")</f>
        <v/>
      </c>
      <c r="I53" s="22" t="n"/>
      <c r="J53" s="16">
        <f>"先週比 "&amp;TEXT(入力!D23,"+#,##0;-#,##0;0")</f>
        <v/>
      </c>
      <c r="K53" s="7" t="n"/>
      <c r="L53" s="7" t="n"/>
      <c r="M53" s="8" t="n"/>
    </row>
    <row r="55" ht="17" customHeight="1">
      <c r="B55" s="6" t="inlineStr">
        <is>
          <t>商談発生額｜当月</t>
        </is>
      </c>
      <c r="C55" s="8" t="n"/>
      <c r="D55" s="9" t="inlineStr">
        <is>
          <t>来月以降（今期）</t>
        </is>
      </c>
      <c r="E55" s="11" t="n"/>
      <c r="F55" s="9" t="inlineStr">
        <is>
          <t>来期</t>
        </is>
      </c>
      <c r="G55" s="11" t="n"/>
      <c r="H55" s="20" t="inlineStr">
        <is>
          <t>完了日 未入力</t>
        </is>
      </c>
      <c r="I55" s="22" t="n"/>
      <c r="J55" s="6" t="inlineStr">
        <is>
          <t>合計</t>
        </is>
      </c>
      <c r="K55" s="7" t="n"/>
      <c r="L55" s="7" t="n"/>
      <c r="M55" s="8" t="n"/>
    </row>
    <row r="56" ht="34" customHeight="1">
      <c r="B56" s="30">
        <f>入力!C35</f>
        <v/>
      </c>
      <c r="C56" s="8" t="n"/>
      <c r="D56" s="31">
        <f>入力!C36</f>
        <v/>
      </c>
      <c r="E56" s="11" t="n"/>
      <c r="F56" s="31">
        <f>入力!C37</f>
        <v/>
      </c>
      <c r="G56" s="11" t="n"/>
      <c r="H56" s="32">
        <f>入力!C38</f>
        <v/>
      </c>
      <c r="I56" s="22" t="n"/>
      <c r="J56" s="30">
        <f>入力!C39</f>
        <v/>
      </c>
      <c r="K56" s="7" t="n"/>
      <c r="L56" s="7" t="n"/>
      <c r="M56" s="8" t="n"/>
    </row>
    <row r="57" ht="24" customHeight="1">
      <c r="B57" s="16">
        <f>"先週比 "&amp;TEXT(入力!D35,"+#,##0;-#,##0;0")</f>
        <v/>
      </c>
      <c r="C57" s="8" t="n"/>
      <c r="D57" s="17">
        <f>"先週比 "&amp;TEXT(入力!D36,"+#,##0;-#,##0;0")</f>
        <v/>
      </c>
      <c r="E57" s="11" t="n"/>
      <c r="F57" s="17">
        <f>"先週比 "&amp;TEXT(入力!D37,"+#,##0;-#,##0;0")</f>
        <v/>
      </c>
      <c r="G57" s="11" t="n"/>
      <c r="H57" s="25">
        <f>"先週比 "&amp;TEXT(入力!D38,"+#,##0;-#,##0;0")</f>
        <v/>
      </c>
      <c r="I57" s="22" t="n"/>
      <c r="J57" s="16">
        <f>"先週比 "&amp;TEXT(入力!D39,"+#,##0;-#,##0;0")</f>
        <v/>
      </c>
      <c r="K57" s="7" t="n"/>
      <c r="L57" s="7" t="n"/>
      <c r="M57" s="8" t="n"/>
    </row>
    <row r="89" ht="17" customHeight="1">
      <c r="B89" s="20" t="inlineStr">
        <is>
          <t>完了予定日 未入力 件数</t>
        </is>
      </c>
      <c r="C89" s="21" t="n"/>
      <c r="D89" s="22" t="n"/>
      <c r="E89" s="20" t="inlineStr">
        <is>
          <t>同 金額</t>
        </is>
      </c>
      <c r="F89" s="21" t="n"/>
      <c r="G89" s="22" t="n"/>
      <c r="H89" s="6" t="inlineStr">
        <is>
          <t>商談獲得｜当月 件数</t>
        </is>
      </c>
      <c r="I89" s="7" t="n"/>
      <c r="J89" s="8" t="n"/>
      <c r="K89" s="9" t="inlineStr">
        <is>
          <t>商談獲得｜合計 件数</t>
        </is>
      </c>
      <c r="L89" s="10" t="n"/>
      <c r="M89" s="11" t="n"/>
    </row>
    <row r="90" ht="34" customHeight="1">
      <c r="B90" s="33">
        <f>入力!C50</f>
        <v/>
      </c>
      <c r="C90" s="21" t="n"/>
      <c r="D90" s="22" t="n"/>
      <c r="E90" s="34">
        <f>入力!C51</f>
        <v/>
      </c>
      <c r="F90" s="21" t="n"/>
      <c r="G90" s="22" t="n"/>
      <c r="H90" s="18">
        <f>入力!C27</f>
        <v/>
      </c>
      <c r="I90" s="7" t="n"/>
      <c r="J90" s="8" t="n"/>
      <c r="K90" s="19">
        <f>入力!C31</f>
        <v/>
      </c>
      <c r="L90" s="10" t="n"/>
      <c r="M90" s="11" t="n"/>
    </row>
    <row r="91" ht="24" customHeight="1">
      <c r="B91" s="25">
        <f>"先週比 "&amp;TEXT(入力!D50,"+#,##0;-#,##0;0")&amp;"件"</f>
        <v/>
      </c>
      <c r="C91" s="21" t="n"/>
      <c r="D91" s="22" t="n"/>
      <c r="E91" s="25">
        <f>"先週比 "&amp;TEXT(入力!D51,"+#,##0;-#,##0;0")</f>
        <v/>
      </c>
      <c r="F91" s="21" t="n"/>
      <c r="G91" s="22" t="n"/>
      <c r="H91" s="16">
        <f>"先週比 "&amp;TEXT(入力!D27,"+#,##0;-#,##0;0")&amp;"件"</f>
        <v/>
      </c>
      <c r="I91" s="7" t="n"/>
      <c r="J91" s="8" t="n"/>
      <c r="K91" s="17">
        <f>"先週比 "&amp;TEXT(入力!D31,"+#,##0;-#,##0;0")&amp;"件"</f>
        <v/>
      </c>
      <c r="L91" s="10" t="n"/>
      <c r="M91" s="11" t="n"/>
    </row>
    <row r="93" ht="22" customHeight="1">
      <c r="B93" s="35" t="inlineStr">
        <is>
          <t>完了予定日が未入力の商談は、当月・来月以降・来期のどれにも入らないため、目標に対する進捗率の分子から漏れます。</t>
        </is>
      </c>
    </row>
    <row r="95" ht="27" customHeight="1">
      <c r="B95" s="3" t="inlineStr">
        <is>
          <t>４．その他トピック</t>
        </is>
      </c>
    </row>
    <row r="96" ht="15" customHeight="1">
      <c r="B96" s="2" t="inlineStr">
        <is>
          <t>数字に出ない動き。受注・失注の理由、顧客の反応など。</t>
        </is>
      </c>
    </row>
    <row r="97" ht="18" customHeight="1">
      <c r="B97" s="4" t="inlineStr">
        <is>
          <t>【要記入】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 ht="18" customHeight="1"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 ht="18" customHeight="1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 ht="18" customHeight="1"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2" ht="27" customHeight="1">
      <c r="B102" s="3" t="inlineStr">
        <is>
          <t>５．課題・懸念事項</t>
        </is>
      </c>
    </row>
    <row r="103" ht="15" customHeight="1">
      <c r="B103" s="2" t="inlineStr">
        <is>
          <t>来週以降の数字を落としかねないもの。</t>
        </is>
      </c>
    </row>
    <row r="104" ht="18" customHeight="1">
      <c r="B104" s="4" t="inlineStr">
        <is>
          <t>【要記入】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 ht="18" customHeight="1"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 ht="18" customHeight="1"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 ht="18" customHeight="1"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9" ht="27" customHeight="1">
      <c r="B109" s="3" t="inlineStr">
        <is>
          <t>６．来週のアクション</t>
        </is>
      </c>
    </row>
    <row r="110" ht="15" customHeight="1">
      <c r="B110" s="2" t="inlineStr">
        <is>
          <t>誰が・何を・いつまでに。</t>
        </is>
      </c>
    </row>
    <row r="111" ht="18" customHeight="1">
      <c r="B111" s="4" t="inlineStr">
        <is>
          <t>【要記入】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 ht="18" customHeight="1"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 ht="18" customHeight="1"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 ht="18" customHeight="1"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6" ht="22" customHeight="1">
      <c r="B116" s="36" t="inlineStr">
        <is>
          <t>※ 1〜6の合計は400字以内に収めてください。</t>
        </is>
      </c>
    </row>
  </sheetData>
  <mergeCells count="123">
    <mergeCell ref="H53:I53"/>
    <mergeCell ref="B2:M2"/>
    <mergeCell ref="B11:M11"/>
    <mergeCell ref="E13:G13"/>
    <mergeCell ref="K46:M46"/>
    <mergeCell ref="J56:M56"/>
    <mergeCell ref="H55:I55"/>
    <mergeCell ref="H17:J17"/>
    <mergeCell ref="E15:G15"/>
    <mergeCell ref="B44:M44"/>
    <mergeCell ref="B104:M107"/>
    <mergeCell ref="E89:G89"/>
    <mergeCell ref="B116:M116"/>
    <mergeCell ref="H22:J22"/>
    <mergeCell ref="K27:M27"/>
    <mergeCell ref="H19:J19"/>
    <mergeCell ref="E26:G26"/>
    <mergeCell ref="K17:M17"/>
    <mergeCell ref="H52:I52"/>
    <mergeCell ref="B6:M6"/>
    <mergeCell ref="E18:G18"/>
    <mergeCell ref="D56:E56"/>
    <mergeCell ref="J53:M53"/>
    <mergeCell ref="F56:G56"/>
    <mergeCell ref="K25:M25"/>
    <mergeCell ref="B55:C55"/>
    <mergeCell ref="B7:M9"/>
    <mergeCell ref="B51:C51"/>
    <mergeCell ref="J55:M55"/>
    <mergeCell ref="D51:E51"/>
    <mergeCell ref="K45:M45"/>
    <mergeCell ref="B96:M96"/>
    <mergeCell ref="F57:G57"/>
    <mergeCell ref="H21:J21"/>
    <mergeCell ref="K47:M47"/>
    <mergeCell ref="K22:M22"/>
    <mergeCell ref="B17:D17"/>
    <mergeCell ref="H56:I56"/>
    <mergeCell ref="E46:G46"/>
    <mergeCell ref="B19:D19"/>
    <mergeCell ref="K14:M14"/>
    <mergeCell ref="H27:J27"/>
    <mergeCell ref="K23:M23"/>
    <mergeCell ref="B53:C53"/>
    <mergeCell ref="J57:M57"/>
    <mergeCell ref="D53:E53"/>
    <mergeCell ref="B45:D45"/>
    <mergeCell ref="B5:M5"/>
    <mergeCell ref="E47:G47"/>
    <mergeCell ref="K18:M18"/>
    <mergeCell ref="B47:D47"/>
    <mergeCell ref="B109:M109"/>
    <mergeCell ref="B46:D46"/>
    <mergeCell ref="E17:G17"/>
    <mergeCell ref="B21:D21"/>
    <mergeCell ref="K91:M91"/>
    <mergeCell ref="H46:J46"/>
    <mergeCell ref="B14:D14"/>
    <mergeCell ref="E19:G19"/>
    <mergeCell ref="H89:J89"/>
    <mergeCell ref="B23:D23"/>
    <mergeCell ref="B13:D13"/>
    <mergeCell ref="B56:C56"/>
    <mergeCell ref="J51:M51"/>
    <mergeCell ref="H45:J45"/>
    <mergeCell ref="B52:C52"/>
    <mergeCell ref="D52:E52"/>
    <mergeCell ref="H90:J90"/>
    <mergeCell ref="E45:G45"/>
    <mergeCell ref="H13:J13"/>
    <mergeCell ref="H47:J47"/>
    <mergeCell ref="B97:M100"/>
    <mergeCell ref="B57:C57"/>
    <mergeCell ref="H15:J15"/>
    <mergeCell ref="E22:G22"/>
    <mergeCell ref="H18:J18"/>
    <mergeCell ref="K13:M13"/>
    <mergeCell ref="B111:M114"/>
    <mergeCell ref="B50:M50"/>
    <mergeCell ref="H57:I57"/>
    <mergeCell ref="B110:M110"/>
    <mergeCell ref="E21:G21"/>
    <mergeCell ref="H26:J26"/>
    <mergeCell ref="B91:D91"/>
    <mergeCell ref="B25:D25"/>
    <mergeCell ref="K15:M15"/>
    <mergeCell ref="D55:E55"/>
    <mergeCell ref="E14:G14"/>
    <mergeCell ref="K89:M89"/>
    <mergeCell ref="B22:D22"/>
    <mergeCell ref="E23:G23"/>
    <mergeCell ref="K21:M21"/>
    <mergeCell ref="B93:M93"/>
    <mergeCell ref="B102:M102"/>
    <mergeCell ref="K26:M26"/>
    <mergeCell ref="B12:M12"/>
    <mergeCell ref="K90:M90"/>
    <mergeCell ref="E90:G90"/>
    <mergeCell ref="B103:M103"/>
    <mergeCell ref="F55:G55"/>
    <mergeCell ref="J52:M52"/>
    <mergeCell ref="E27:G27"/>
    <mergeCell ref="D57:E57"/>
    <mergeCell ref="F51:G51"/>
    <mergeCell ref="H51:I51"/>
    <mergeCell ref="B15:D15"/>
    <mergeCell ref="B49:M49"/>
    <mergeCell ref="E91:G91"/>
    <mergeCell ref="E25:G25"/>
    <mergeCell ref="B89:D89"/>
    <mergeCell ref="B95:M95"/>
    <mergeCell ref="K19:M19"/>
    <mergeCell ref="H14:J14"/>
    <mergeCell ref="H23:J23"/>
    <mergeCell ref="B26:D26"/>
    <mergeCell ref="H91:J91"/>
    <mergeCell ref="F52:G52"/>
    <mergeCell ref="B90:D90"/>
    <mergeCell ref="B3:M3"/>
    <mergeCell ref="B18:D18"/>
    <mergeCell ref="B27:D27"/>
    <mergeCell ref="H25:J25"/>
    <mergeCell ref="F53:G53"/>
  </mergeCells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2" customWidth="1" min="5" max="5"/>
  </cols>
  <sheetData>
    <row r="1">
      <c r="A1" s="37" t="inlineStr">
        <is>
          <t>入力シート（青字だけ埋めてください）</t>
        </is>
      </c>
    </row>
    <row r="2">
      <c r="A2" s="2" t="inlineStr">
        <is>
          <t>2本のSFレポート（先週分・最新分）から集計した値を入れます。ほかのシートは全部ここから自動計算されます。単位：千円。</t>
        </is>
      </c>
    </row>
    <row r="4">
      <c r="A4" s="38" t="inlineStr">
        <is>
          <t>■ A. 当月の目標と営業日</t>
        </is>
      </c>
    </row>
    <row r="5">
      <c r="A5" s="39" t="inlineStr">
        <is>
          <t>対象月</t>
        </is>
      </c>
      <c r="B5" s="40" t="inlineStr">
        <is>
          <t>2026年10月</t>
        </is>
      </c>
      <c r="C5" s="2" t="inlineStr">
        <is>
          <t>※ レポートの対象月</t>
        </is>
      </c>
    </row>
    <row r="6">
      <c r="A6" s="39" t="inlineStr">
        <is>
          <t>AB昇格額（正味）目標</t>
        </is>
      </c>
      <c r="B6" s="41" t="n">
        <v>13369</v>
      </c>
      <c r="C6" s="2" t="inlineStr">
        <is>
          <t>※ 月次目標。正味＝昇格 − 降格</t>
        </is>
      </c>
    </row>
    <row r="7">
      <c r="A7" s="39" t="inlineStr">
        <is>
          <t>商談獲得 有効件数 目標</t>
        </is>
      </c>
      <c r="B7" s="42" t="n">
        <v>23</v>
      </c>
      <c r="C7" s="2" t="inlineStr">
        <is>
          <t>※ 月次目標</t>
        </is>
      </c>
    </row>
    <row r="8">
      <c r="A8" s="39" t="inlineStr">
        <is>
          <t>商談発生額 目標</t>
        </is>
      </c>
      <c r="B8" s="41" t="n">
        <v>69000</v>
      </c>
      <c r="C8" s="2" t="inlineStr">
        <is>
          <t>※ 月次目標</t>
        </is>
      </c>
    </row>
    <row r="9">
      <c r="A9" s="39" t="inlineStr">
        <is>
          <t>当月の営業日数</t>
        </is>
      </c>
      <c r="B9" s="43" t="n">
        <v>21</v>
      </c>
      <c r="C9" s="2" t="inlineStr">
        <is>
          <t>※ 祝日を除いた日数</t>
        </is>
      </c>
    </row>
    <row r="10">
      <c r="A10" s="39" t="inlineStr">
        <is>
          <t>経過営業日数（報告時点）</t>
        </is>
      </c>
      <c r="B10" s="43" t="n">
        <v>7</v>
      </c>
      <c r="C10" s="2" t="inlineStr">
        <is>
          <t>※ 報告日までに経過した営業日数</t>
        </is>
      </c>
    </row>
    <row r="11">
      <c r="A11" s="39" t="inlineStr">
        <is>
          <t>週次の必要進捗率</t>
        </is>
      </c>
      <c r="B11" s="44">
        <f>IFERROR(B10/B9,0)</f>
        <v/>
      </c>
      <c r="C11" s="2" t="inlineStr">
        <is>
          <t>＝ 経過営業日数 ÷ 当月の営業日数。この率を実績の進捗率が下回っていたら遅れです</t>
        </is>
      </c>
    </row>
    <row r="13">
      <c r="A13" s="38" t="inlineStr">
        <is>
          <t>■ B. 比較する2本のSFレポート</t>
        </is>
      </c>
    </row>
    <row r="14">
      <c r="A14" s="39" t="inlineStr">
        <is>
          <t>先週レポートの日付</t>
        </is>
      </c>
      <c r="B14" s="45" t="inlineStr">
        <is>
          <t>【要記入】</t>
        </is>
      </c>
      <c r="C14" s="2" t="inlineStr">
        <is>
          <t>※ 例：2026/10/03</t>
        </is>
      </c>
    </row>
    <row r="15">
      <c r="A15" s="39" t="inlineStr">
        <is>
          <t>最新レポートの日付</t>
        </is>
      </c>
      <c r="B15" s="45" t="inlineStr">
        <is>
          <t>【要記入】</t>
        </is>
      </c>
      <c r="C15" s="2" t="inlineStr">
        <is>
          <t>※ 例：2026/10/10</t>
        </is>
      </c>
    </row>
    <row r="17">
      <c r="A17" s="38" t="inlineStr">
        <is>
          <t>■ C. AB昇格額（正味）千円</t>
        </is>
      </c>
      <c r="C17" s="2" t="inlineStr">
        <is>
          <t>完了予定日がいつの商談か別に。正味＝当週の昇格 − 降格。</t>
        </is>
      </c>
    </row>
    <row r="18">
      <c r="A18" s="46" t="inlineStr">
        <is>
          <t>区分</t>
        </is>
      </c>
      <c r="B18" s="46" t="inlineStr">
        <is>
          <t>先週</t>
        </is>
      </c>
      <c r="C18" s="46" t="inlineStr">
        <is>
          <t>今週</t>
        </is>
      </c>
      <c r="D18" s="46" t="inlineStr">
        <is>
          <t>増減</t>
        </is>
      </c>
    </row>
    <row r="19">
      <c r="A19" s="47" t="inlineStr">
        <is>
          <t>当月（対象月）</t>
        </is>
      </c>
      <c r="B19" s="48" t="inlineStr">
        <is>
          <t>【要記入】</t>
        </is>
      </c>
      <c r="C19" s="48" t="inlineStr">
        <is>
          <t>【要記入】</t>
        </is>
      </c>
      <c r="D19" s="49">
        <f>IFERROR(C19-B19,0)</f>
        <v/>
      </c>
    </row>
    <row r="20">
      <c r="A20" s="47" t="inlineStr">
        <is>
          <t>来月以降（今期内）</t>
        </is>
      </c>
      <c r="B20" s="48" t="inlineStr">
        <is>
          <t>【要記入】</t>
        </is>
      </c>
      <c r="C20" s="48" t="inlineStr">
        <is>
          <t>【要記入】</t>
        </is>
      </c>
      <c r="D20" s="49">
        <f>IFERROR(C20-B20,0)</f>
        <v/>
      </c>
    </row>
    <row r="21">
      <c r="A21" s="47" t="inlineStr">
        <is>
          <t>来期（27年度以降）</t>
        </is>
      </c>
      <c r="B21" s="48" t="inlineStr">
        <is>
          <t>【要記入】</t>
        </is>
      </c>
      <c r="C21" s="48" t="inlineStr">
        <is>
          <t>【要記入】</t>
        </is>
      </c>
      <c r="D21" s="49">
        <f>IFERROR(C21-B21,0)</f>
        <v/>
      </c>
    </row>
    <row r="22">
      <c r="A22" s="47" t="inlineStr">
        <is>
          <t>完了予定日 未入力</t>
        </is>
      </c>
      <c r="B22" s="48" t="inlineStr">
        <is>
          <t>【要記入】</t>
        </is>
      </c>
      <c r="C22" s="48" t="inlineStr">
        <is>
          <t>【要記入】</t>
        </is>
      </c>
      <c r="D22" s="49">
        <f>IFERROR(C22-B22,0)</f>
        <v/>
      </c>
    </row>
    <row r="23">
      <c r="A23" s="50" t="inlineStr">
        <is>
          <t>合計</t>
        </is>
      </c>
      <c r="B23" s="51">
        <f>SUM(B19:B22)</f>
        <v/>
      </c>
      <c r="C23" s="51">
        <f>SUM(C19:C22)</f>
        <v/>
      </c>
      <c r="D23" s="52">
        <f>SUM(D19:D22)</f>
        <v/>
      </c>
    </row>
    <row r="25">
      <c r="A25" s="38" t="inlineStr">
        <is>
          <t>■ D. 商談獲得 有効件数</t>
        </is>
      </c>
      <c r="C25" s="2" t="inlineStr">
        <is>
          <t>「有効」の定義は算出方法シートに明記してください。</t>
        </is>
      </c>
    </row>
    <row r="26">
      <c r="A26" s="46" t="inlineStr">
        <is>
          <t>区分</t>
        </is>
      </c>
      <c r="B26" s="46" t="inlineStr">
        <is>
          <t>先週</t>
        </is>
      </c>
      <c r="C26" s="46" t="inlineStr">
        <is>
          <t>今週</t>
        </is>
      </c>
      <c r="D26" s="46" t="inlineStr">
        <is>
          <t>増減</t>
        </is>
      </c>
    </row>
    <row r="27">
      <c r="A27" s="47" t="inlineStr">
        <is>
          <t>当月（対象月）</t>
        </is>
      </c>
      <c r="B27" s="43" t="inlineStr">
        <is>
          <t>【要記入】</t>
        </is>
      </c>
      <c r="C27" s="43" t="inlineStr">
        <is>
          <t>【要記入】</t>
        </is>
      </c>
      <c r="D27" s="49">
        <f>IFERROR(C27-B27,0)</f>
        <v/>
      </c>
    </row>
    <row r="28">
      <c r="A28" s="47" t="inlineStr">
        <is>
          <t>来月以降（今期内）</t>
        </is>
      </c>
      <c r="B28" s="43" t="inlineStr">
        <is>
          <t>【要記入】</t>
        </is>
      </c>
      <c r="C28" s="43" t="inlineStr">
        <is>
          <t>【要記入】</t>
        </is>
      </c>
      <c r="D28" s="49">
        <f>IFERROR(C28-B28,0)</f>
        <v/>
      </c>
    </row>
    <row r="29">
      <c r="A29" s="47" t="inlineStr">
        <is>
          <t>来期（27年度以降）</t>
        </is>
      </c>
      <c r="B29" s="43" t="inlineStr">
        <is>
          <t>【要記入】</t>
        </is>
      </c>
      <c r="C29" s="43" t="inlineStr">
        <is>
          <t>【要記入】</t>
        </is>
      </c>
      <c r="D29" s="49">
        <f>IFERROR(C29-B29,0)</f>
        <v/>
      </c>
    </row>
    <row r="30">
      <c r="A30" s="47" t="inlineStr">
        <is>
          <t>完了予定日 未入力</t>
        </is>
      </c>
      <c r="B30" s="43" t="inlineStr">
        <is>
          <t>【要記入】</t>
        </is>
      </c>
      <c r="C30" s="43" t="inlineStr">
        <is>
          <t>【要記入】</t>
        </is>
      </c>
      <c r="D30" s="49">
        <f>IFERROR(C30-B30,0)</f>
        <v/>
      </c>
    </row>
    <row r="31">
      <c r="A31" s="50" t="inlineStr">
        <is>
          <t>合計</t>
        </is>
      </c>
      <c r="B31" s="53">
        <f>SUM(B27:B30)</f>
        <v/>
      </c>
      <c r="C31" s="53">
        <f>SUM(C27:C30)</f>
        <v/>
      </c>
      <c r="D31" s="52">
        <f>SUM(D27:D30)</f>
        <v/>
      </c>
    </row>
    <row r="33">
      <c r="A33" s="38" t="inlineStr">
        <is>
          <t>■ E. 商談発生額 千円</t>
        </is>
      </c>
      <c r="C33" s="2" t="inlineStr">
        <is>
          <t>新規に発生した商談の金額。完了予定日の時期別に。</t>
        </is>
      </c>
    </row>
    <row r="34">
      <c r="A34" s="46" t="inlineStr">
        <is>
          <t>区分</t>
        </is>
      </c>
      <c r="B34" s="46" t="inlineStr">
        <is>
          <t>先週</t>
        </is>
      </c>
      <c r="C34" s="46" t="inlineStr">
        <is>
          <t>今週</t>
        </is>
      </c>
      <c r="D34" s="46" t="inlineStr">
        <is>
          <t>増減</t>
        </is>
      </c>
    </row>
    <row r="35">
      <c r="A35" s="47" t="inlineStr">
        <is>
          <t>当月（対象月）</t>
        </is>
      </c>
      <c r="B35" s="48" t="inlineStr">
        <is>
          <t>【要記入】</t>
        </is>
      </c>
      <c r="C35" s="48" t="inlineStr">
        <is>
          <t>【要記入】</t>
        </is>
      </c>
      <c r="D35" s="49">
        <f>IFERROR(C35-B35,0)</f>
        <v/>
      </c>
    </row>
    <row r="36">
      <c r="A36" s="47" t="inlineStr">
        <is>
          <t>来月以降（今期内）</t>
        </is>
      </c>
      <c r="B36" s="48" t="inlineStr">
        <is>
          <t>【要記入】</t>
        </is>
      </c>
      <c r="C36" s="48" t="inlineStr">
        <is>
          <t>【要記入】</t>
        </is>
      </c>
      <c r="D36" s="49">
        <f>IFERROR(C36-B36,0)</f>
        <v/>
      </c>
    </row>
    <row r="37">
      <c r="A37" s="47" t="inlineStr">
        <is>
          <t>来期（27年度以降）</t>
        </is>
      </c>
      <c r="B37" s="48" t="inlineStr">
        <is>
          <t>【要記入】</t>
        </is>
      </c>
      <c r="C37" s="48" t="inlineStr">
        <is>
          <t>【要記入】</t>
        </is>
      </c>
      <c r="D37" s="49">
        <f>IFERROR(C37-B37,0)</f>
        <v/>
      </c>
    </row>
    <row r="38">
      <c r="A38" s="47" t="inlineStr">
        <is>
          <t>完了予定日 未入力</t>
        </is>
      </c>
      <c r="B38" s="48" t="inlineStr">
        <is>
          <t>【要記入】</t>
        </is>
      </c>
      <c r="C38" s="48" t="inlineStr">
        <is>
          <t>【要記入】</t>
        </is>
      </c>
      <c r="D38" s="49">
        <f>IFERROR(C38-B38,0)</f>
        <v/>
      </c>
    </row>
    <row r="39">
      <c r="A39" s="50" t="inlineStr">
        <is>
          <t>合計</t>
        </is>
      </c>
      <c r="B39" s="51">
        <f>SUM(B35:B38)</f>
        <v/>
      </c>
      <c r="C39" s="51">
        <f>SUM(C35:C38)</f>
        <v/>
      </c>
      <c r="D39" s="52">
        <f>SUM(D35:D38)</f>
        <v/>
      </c>
    </row>
    <row r="41">
      <c r="A41" s="38" t="inlineStr">
        <is>
          <t>■ F. 玉の残高（参考）</t>
        </is>
      </c>
    </row>
    <row r="42">
      <c r="A42" s="46" t="inlineStr">
        <is>
          <t>区分</t>
        </is>
      </c>
      <c r="B42" s="46" t="inlineStr">
        <is>
          <t>先週</t>
        </is>
      </c>
      <c r="C42" s="46" t="inlineStr">
        <is>
          <t>今週</t>
        </is>
      </c>
      <c r="D42" s="46" t="inlineStr">
        <is>
          <t>増減</t>
        </is>
      </c>
    </row>
    <row r="43">
      <c r="A43" s="47" t="inlineStr">
        <is>
          <t>AB玉 残高</t>
        </is>
      </c>
      <c r="B43" s="48" t="inlineStr">
        <is>
          <t>【要記入】</t>
        </is>
      </c>
      <c r="C43" s="48" t="inlineStr">
        <is>
          <t>【要記入】</t>
        </is>
      </c>
      <c r="D43" s="49">
        <f>IFERROR(C43-B43,0)</f>
        <v/>
      </c>
    </row>
    <row r="44">
      <c r="A44" s="47" t="inlineStr">
        <is>
          <t>CD玉 残高</t>
        </is>
      </c>
      <c r="B44" s="48" t="inlineStr">
        <is>
          <t>【要記入】</t>
        </is>
      </c>
      <c r="C44" s="48" t="inlineStr">
        <is>
          <t>【要記入】</t>
        </is>
      </c>
      <c r="D44" s="49">
        <f>IFERROR(C44-B44,0)</f>
        <v/>
      </c>
    </row>
    <row r="45">
      <c r="A45" s="47" t="inlineStr">
        <is>
          <t>総玉 残高</t>
        </is>
      </c>
      <c r="B45" s="48" t="inlineStr">
        <is>
          <t>【要記入】</t>
        </is>
      </c>
      <c r="C45" s="48" t="inlineStr">
        <is>
          <t>【要記入】</t>
        </is>
      </c>
      <c r="D45" s="49">
        <f>IFERROR(C45-B45,0)</f>
        <v/>
      </c>
    </row>
    <row r="46">
      <c r="A46" s="47" t="inlineStr">
        <is>
          <t>商談件数（総数）</t>
        </is>
      </c>
      <c r="B46" s="43" t="inlineStr">
        <is>
          <t>【要記入】</t>
        </is>
      </c>
      <c r="C46" s="43" t="inlineStr">
        <is>
          <t>【要記入】</t>
        </is>
      </c>
      <c r="D46" s="49">
        <f>IFERROR(C46-B46,0)</f>
        <v/>
      </c>
    </row>
    <row r="48">
      <c r="A48" s="38" t="inlineStr">
        <is>
          <t>■ G. 完了予定日が入っていない商談</t>
        </is>
      </c>
    </row>
    <row r="49">
      <c r="A49" s="46" t="inlineStr">
        <is>
          <t>区分</t>
        </is>
      </c>
      <c r="B49" s="46" t="inlineStr">
        <is>
          <t>先週</t>
        </is>
      </c>
      <c r="C49" s="46" t="inlineStr">
        <is>
          <t>今週</t>
        </is>
      </c>
      <c r="D49" s="46" t="inlineStr">
        <is>
          <t>増減</t>
        </is>
      </c>
    </row>
    <row r="50">
      <c r="A50" s="47" t="inlineStr">
        <is>
          <t>件数</t>
        </is>
      </c>
      <c r="B50" s="43" t="inlineStr">
        <is>
          <t>【要記入】</t>
        </is>
      </c>
      <c r="C50" s="43" t="inlineStr">
        <is>
          <t>【要記入】</t>
        </is>
      </c>
      <c r="D50" s="49">
        <f>IFERROR(C50-B50,"")</f>
        <v/>
      </c>
    </row>
    <row r="51">
      <c r="A51" s="47" t="inlineStr">
        <is>
          <t>金額</t>
        </is>
      </c>
      <c r="B51" s="48" t="inlineStr">
        <is>
          <t>【要記入】</t>
        </is>
      </c>
      <c r="C51" s="48" t="inlineStr">
        <is>
          <t>【要記入】</t>
        </is>
      </c>
      <c r="D51" s="49">
        <f>IFERROR(C51-B51,"")</f>
        <v/>
      </c>
    </row>
    <row r="53">
      <c r="A53" s="54" t="inlineStr">
        <is>
          <t>※ 完了予定日が空欄の商談は、当月・来月以降・来期のどれにも入らないため、進捗率の分子から漏れます。</t>
        </is>
      </c>
    </row>
    <row r="55">
      <c r="A55" s="38" t="inlineStr">
        <is>
          <t>■ 凡例</t>
        </is>
      </c>
    </row>
    <row r="56">
      <c r="A56" s="55" t="inlineStr">
        <is>
          <t>青字</t>
        </is>
      </c>
      <c r="B56" s="2" t="inlineStr">
        <is>
          <t>手入力。SFレポートから転記</t>
        </is>
      </c>
    </row>
    <row r="57">
      <c r="A57" s="56" t="inlineStr">
        <is>
          <t>黒字</t>
        </is>
      </c>
      <c r="B57" s="2" t="inlineStr">
        <is>
          <t>数式。触らない</t>
        </is>
      </c>
    </row>
    <row r="58">
      <c r="A58" s="57" t="inlineStr">
        <is>
          <t>黄色塗り</t>
        </is>
      </c>
      <c r="B58" s="2" t="inlineStr">
        <is>
          <t>月次目標。変わると進捗率が全部動く</t>
        </is>
      </c>
    </row>
  </sheetData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7" t="inlineStr">
        <is>
          <t>グラフ用データ（週次サマリーのグラフが参照します）</t>
        </is>
      </c>
    </row>
    <row r="2">
      <c r="A2" s="2" t="inlineStr">
        <is>
          <t>すべて入力シートからの自動計算。</t>
        </is>
      </c>
    </row>
    <row r="4">
      <c r="A4" s="58" t="inlineStr">
        <is>
          <t>指標</t>
        </is>
      </c>
      <c r="B4" s="58" t="inlineStr">
        <is>
          <t>進捗率</t>
        </is>
      </c>
      <c r="C4" s="58" t="inlineStr">
        <is>
          <t>必要進捗率</t>
        </is>
      </c>
    </row>
    <row r="5">
      <c r="A5" s="59" t="inlineStr">
        <is>
          <t>AB昇格額（正味）</t>
        </is>
      </c>
      <c r="B5" s="60">
        <f>IFERROR(入力!C19/入力!B6,0)</f>
        <v/>
      </c>
      <c r="C5" s="60">
        <f>入力!B11</f>
        <v/>
      </c>
    </row>
    <row r="6">
      <c r="A6" s="59" t="inlineStr">
        <is>
          <t>商談獲得 有効件数</t>
        </is>
      </c>
      <c r="B6" s="60">
        <f>IFERROR(入力!C27/入力!B7,0)</f>
        <v/>
      </c>
      <c r="C6" s="60">
        <f>入力!B11</f>
        <v/>
      </c>
    </row>
    <row r="7">
      <c r="A7" s="59" t="inlineStr">
        <is>
          <t>商談発生額</t>
        </is>
      </c>
      <c r="B7" s="60">
        <f>IFERROR(入力!C35/入力!B8,0)</f>
        <v/>
      </c>
      <c r="C7" s="60">
        <f>入力!B11</f>
        <v/>
      </c>
    </row>
    <row r="9">
      <c r="A9" s="61" t="inlineStr">
        <is>
          <t>AB昇格額（正味）の時期別</t>
        </is>
      </c>
    </row>
    <row r="10">
      <c r="A10" s="58" t="inlineStr">
        <is>
          <t>区分</t>
        </is>
      </c>
      <c r="B10" s="58" t="inlineStr">
        <is>
          <t>当月（対象月）</t>
        </is>
      </c>
      <c r="C10" s="58" t="inlineStr">
        <is>
          <t>来月以降（今期内）</t>
        </is>
      </c>
      <c r="D10" s="58" t="inlineStr">
        <is>
          <t>来期（27年度以降）</t>
        </is>
      </c>
      <c r="E10" s="58" t="inlineStr">
        <is>
          <t>完了予定日 未入力</t>
        </is>
      </c>
    </row>
    <row r="11">
      <c r="A11" s="59" t="inlineStr">
        <is>
          <t>先週</t>
        </is>
      </c>
      <c r="B11" s="62">
        <f>入力!B19</f>
        <v/>
      </c>
      <c r="C11" s="62">
        <f>入力!B20</f>
        <v/>
      </c>
      <c r="D11" s="62">
        <f>入力!B21</f>
        <v/>
      </c>
      <c r="E11" s="62">
        <f>入力!B22</f>
        <v/>
      </c>
    </row>
    <row r="12">
      <c r="A12" s="59" t="inlineStr">
        <is>
          <t>今週</t>
        </is>
      </c>
      <c r="B12" s="62">
        <f>入力!C19</f>
        <v/>
      </c>
      <c r="C12" s="62">
        <f>入力!C20</f>
        <v/>
      </c>
      <c r="D12" s="62">
        <f>入力!C21</f>
        <v/>
      </c>
      <c r="E12" s="62">
        <f>入力!C22</f>
        <v/>
      </c>
    </row>
    <row r="14">
      <c r="A14" s="61" t="inlineStr">
        <is>
          <t>商談発生額の時期別</t>
        </is>
      </c>
    </row>
    <row r="15">
      <c r="A15" s="58" t="inlineStr">
        <is>
          <t>区分</t>
        </is>
      </c>
      <c r="B15" s="58" t="inlineStr">
        <is>
          <t>当月（対象月）</t>
        </is>
      </c>
      <c r="C15" s="58" t="inlineStr">
        <is>
          <t>来月以降（今期内）</t>
        </is>
      </c>
      <c r="D15" s="58" t="inlineStr">
        <is>
          <t>来期（27年度以降）</t>
        </is>
      </c>
      <c r="E15" s="58" t="inlineStr">
        <is>
          <t>完了予定日 未入力</t>
        </is>
      </c>
    </row>
    <row r="16">
      <c r="A16" s="59" t="inlineStr">
        <is>
          <t>先週</t>
        </is>
      </c>
      <c r="B16" s="62">
        <f>入力!B35</f>
        <v/>
      </c>
      <c r="C16" s="62">
        <f>入力!B36</f>
        <v/>
      </c>
      <c r="D16" s="62">
        <f>入力!B37</f>
        <v/>
      </c>
      <c r="E16" s="62">
        <f>入力!B38</f>
        <v/>
      </c>
    </row>
    <row r="17">
      <c r="A17" s="59" t="inlineStr">
        <is>
          <t>今週</t>
        </is>
      </c>
      <c r="B17" s="62">
        <f>入力!C35</f>
        <v/>
      </c>
      <c r="C17" s="62">
        <f>入力!C36</f>
        <v/>
      </c>
      <c r="D17" s="62">
        <f>入力!C37</f>
        <v/>
      </c>
      <c r="E17" s="62">
        <f>入力!C38</f>
        <v/>
      </c>
    </row>
  </sheetData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7" t="inlineStr">
        <is>
          <t>算出方法と定義</t>
        </is>
      </c>
    </row>
    <row r="3">
      <c r="A3" s="61" t="inlineStr">
        <is>
          <t>■ 使うレポート</t>
        </is>
      </c>
      <c r="B3" s="56" t="inlineStr"/>
    </row>
    <row r="4">
      <c r="A4" s="63" t="inlineStr">
        <is>
          <t>先週分</t>
        </is>
      </c>
      <c r="B4" s="56" t="inlineStr">
        <is>
          <t>【要記入】レポート名と出力日時</t>
        </is>
      </c>
    </row>
    <row r="5">
      <c r="A5" s="63" t="inlineStr">
        <is>
          <t>最新分</t>
        </is>
      </c>
      <c r="B5" s="56" t="inlineStr">
        <is>
          <t>【要記入】レポート名と出力日時</t>
        </is>
      </c>
    </row>
    <row r="6">
      <c r="A6" s="63" t="inlineStr">
        <is>
          <t>抽出条件</t>
        </is>
      </c>
      <c r="B6" s="56" t="inlineStr">
        <is>
          <t>【要記入】レコードタイプ・除外条件（失注／テスト商談／＊原価管理用＊ など）</t>
        </is>
      </c>
    </row>
    <row r="7">
      <c r="A7" s="64" t="inlineStr"/>
      <c r="B7" s="56" t="inlineStr"/>
    </row>
    <row r="8">
      <c r="A8" s="61" t="inlineStr">
        <is>
          <t>■ 時期の区分</t>
        </is>
      </c>
      <c r="B8" s="56" t="inlineStr"/>
    </row>
    <row r="9">
      <c r="A9" s="63" t="inlineStr">
        <is>
          <t>当月（対象月）</t>
        </is>
      </c>
      <c r="B9" s="56" t="inlineStr">
        <is>
          <t>完了予定日が対象月のもの。月次目標に対する進捗の分子はここ</t>
        </is>
      </c>
    </row>
    <row r="10">
      <c r="A10" s="63" t="inlineStr">
        <is>
          <t>来月以降（今期内）</t>
        </is>
      </c>
      <c r="B10" s="56" t="inlineStr">
        <is>
          <t>完了予定日が翌月〜今期末（2027/03/31）のもの</t>
        </is>
      </c>
    </row>
    <row r="11">
      <c r="A11" s="63" t="inlineStr">
        <is>
          <t>来期（27年度以降）</t>
        </is>
      </c>
      <c r="B11" s="56" t="inlineStr">
        <is>
          <t>完了予定日が2027/04/01以降のもの</t>
        </is>
      </c>
    </row>
    <row r="12">
      <c r="A12" s="63" t="inlineStr">
        <is>
          <t>完了予定日 未入力</t>
        </is>
      </c>
      <c r="B12" s="56" t="inlineStr">
        <is>
          <t>完了予定日が空欄。どの区分にも入らず、進捗率の分子から漏れる</t>
        </is>
      </c>
    </row>
    <row r="13">
      <c r="A13" s="64" t="inlineStr"/>
      <c r="B13" s="56" t="inlineStr"/>
    </row>
    <row r="14">
      <c r="A14" s="61" t="inlineStr">
        <is>
          <t>■ 指標の定義</t>
        </is>
      </c>
      <c r="B14" s="56" t="inlineStr"/>
    </row>
    <row r="15">
      <c r="A15" s="63" t="inlineStr">
        <is>
          <t>AB昇格額（正味）</t>
        </is>
      </c>
      <c r="B15" s="56" t="inlineStr">
        <is>
          <t>当週に確度C・D・長期から A・B へ上がった金額 − 逆に下がった金額</t>
        </is>
      </c>
    </row>
    <row r="16">
      <c r="A16" s="63" t="inlineStr">
        <is>
          <t>商談獲得 有効件数</t>
        </is>
      </c>
      <c r="B16" s="56" t="inlineStr">
        <is>
          <t>【要記入】「有効」の定義を明記（例：確度が付いている／金額が入っている など）</t>
        </is>
      </c>
    </row>
    <row r="17">
      <c r="A17" s="63" t="inlineStr">
        <is>
          <t>商談発生額</t>
        </is>
      </c>
      <c r="B17" s="56" t="inlineStr">
        <is>
          <t>当週に新規発生した商談の金額</t>
        </is>
      </c>
    </row>
    <row r="18">
      <c r="A18" s="63" t="inlineStr">
        <is>
          <t>必要進捗率</t>
        </is>
      </c>
      <c r="B18" s="56" t="inlineStr">
        <is>
          <t>経過営業日数 ÷ 当月の営業日数。実績の進捗率がこれを下回っていたら遅れ</t>
        </is>
      </c>
    </row>
    <row r="19">
      <c r="A19" s="63" t="inlineStr">
        <is>
          <t>過不足</t>
        </is>
      </c>
      <c r="B19" s="56" t="inlineStr">
        <is>
          <t>進捗率 − 必要進捗率。マイナスなら遅れ</t>
        </is>
      </c>
    </row>
    <row r="20">
      <c r="A20" s="64" t="inlineStr"/>
      <c r="B20" s="56" t="inlineStr"/>
    </row>
    <row r="21">
      <c r="A21" s="61" t="inlineStr">
        <is>
          <t>■ 月次目標</t>
        </is>
      </c>
      <c r="B21" s="56" t="inlineStr"/>
    </row>
    <row r="22">
      <c r="A22" s="63" t="inlineStr">
        <is>
          <t>AB昇格額（正味）</t>
        </is>
      </c>
      <c r="B22" s="56" t="inlineStr">
        <is>
          <t>13,369千円／月</t>
        </is>
      </c>
    </row>
    <row r="23">
      <c r="A23" s="63" t="inlineStr">
        <is>
          <t>商談獲得 有効件数</t>
        </is>
      </c>
      <c r="B23" s="56" t="inlineStr">
        <is>
          <t>23件／月</t>
        </is>
      </c>
    </row>
    <row r="24">
      <c r="A24" s="63" t="inlineStr">
        <is>
          <t>商談発生額</t>
        </is>
      </c>
      <c r="B24" s="56" t="inlineStr">
        <is>
          <t>69,000千円／月</t>
        </is>
      </c>
    </row>
    <row r="25">
      <c r="A25" s="64" t="inlineStr"/>
      <c r="B25" s="56" t="inlineStr"/>
    </row>
    <row r="26">
      <c r="A26" s="61" t="inlineStr">
        <is>
          <t>■ 配色</t>
        </is>
      </c>
      <c r="B26" s="56" t="inlineStr"/>
    </row>
    <row r="27">
      <c r="A27" s="63" t="inlineStr">
        <is>
          <t>カテゴリ配色</t>
        </is>
      </c>
      <c r="B27" s="56" t="inlineStr">
        <is>
          <t>2E8B57／E09B22／3B7DD8／C0453E／8E5BC4。色覚多様性を検証済み（CVD分離 ΔE 12.9）</t>
        </is>
      </c>
    </row>
    <row r="28">
      <c r="A28" s="63" t="inlineStr">
        <is>
          <t>見出し・強調</t>
        </is>
      </c>
      <c r="B28" s="56" t="inlineStr">
        <is>
          <t>2C5F2D（森）／C87941（注意）／B04A3C（警告）</t>
        </is>
      </c>
    </row>
    <row r="29">
      <c r="A29" s="63" t="inlineStr"/>
      <c r="B29" s="56" t="inlineStr">
        <is>
          <t>※ 社内のブランドガイドラインがあれば差し替えてください</t>
        </is>
      </c>
    </row>
  </sheetData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2026-10-11T04:00:11Z</dcterms:created>
  <dcterms:modified xsi:type="dcterms:W3CDTF">2026-10-11T04:00:11Z</dcterms:modified>
</cp:coreProperties>
</file>