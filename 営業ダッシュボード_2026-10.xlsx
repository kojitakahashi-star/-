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ダッシュボード" sheetId="1" state="visible" r:id="rId3"/>
    <sheet name="前提" sheetId="2" state="visible" r:id="rId4"/>
    <sheet name="月次" sheetId="3" state="visible" r:id="rId5"/>
    <sheet name="月次増減" sheetId="4" state="visible" r:id="rId6"/>
    <sheet name="算出方法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<sst xmlns="http://schemas.openxmlformats.org/spreadsheetml/2006/main" count="314" uniqueCount="256">
  <si>
    <t xml:space="preserve">森未来 営業部｜下期ダッシュボード</t>
  </si>
  <si>
    <r>
      <rPr>
        <sz val="9"/>
        <color rgb="FF767676"/>
        <rFont val="WenQuanYi Zen Hei"/>
        <family val="2"/>
      </rPr>
      <t xml:space="preserve">木材コーディネート＋</t>
    </r>
    <r>
      <rPr>
        <sz val="9"/>
        <color rgb="FF767676"/>
        <rFont val="Meiryo"/>
        <family val="0"/>
        <charset val="1"/>
      </rPr>
      <t xml:space="preserve">TREEBATON</t>
    </r>
    <r>
      <rPr>
        <sz val="9"/>
        <color rgb="FF767676"/>
        <rFont val="WenQuanYi Zen Hei"/>
        <family val="2"/>
      </rPr>
      <t xml:space="preserve">（</t>
    </r>
    <r>
      <rPr>
        <sz val="9"/>
        <color rgb="FF767676"/>
        <rFont val="Meiryo"/>
        <family val="0"/>
        <charset val="1"/>
      </rPr>
      <t xml:space="preserve">OEM</t>
    </r>
    <r>
      <rPr>
        <sz val="9"/>
        <color rgb="FF767676"/>
        <rFont val="WenQuanYi Zen Hei"/>
        <family val="2"/>
      </rPr>
      <t xml:space="preserve">・建築は含まず）／失注除外／</t>
    </r>
    <r>
      <rPr>
        <sz val="9"/>
        <color rgb="FF767676"/>
        <rFont val="Meiryo"/>
        <family val="0"/>
        <charset val="1"/>
      </rPr>
      <t xml:space="preserve">2026-10-05 SF</t>
    </r>
    <r>
      <rPr>
        <sz val="9"/>
        <color rgb="FF767676"/>
        <rFont val="WenQuanYi Zen Hei"/>
        <family val="2"/>
      </rPr>
      <t xml:space="preserve">出力　単位：千円</t>
    </r>
  </si>
  <si>
    <t xml:space="preserve">①　下期の数字</t>
  </si>
  <si>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から集計した実数。月次シートの青字を更新すると、このページも自動で変わります。</t>
    </r>
  </si>
  <si>
    <t xml:space="preserve">下期予算</t>
  </si>
  <si>
    <t xml:space="preserve">① 受注済（成約）</t>
  </si>
  <si>
    <r>
      <rPr>
        <b val="true"/>
        <sz val="9.5"/>
        <color rgb="FF767676"/>
        <rFont val="Meiryo"/>
        <family val="0"/>
        <charset val="1"/>
      </rPr>
      <t xml:space="preserve">② AB</t>
    </r>
    <r>
      <rPr>
        <b val="true"/>
        <sz val="9.5"/>
        <color rgb="FF767676"/>
        <rFont val="WenQuanYi Zen Hei"/>
        <family val="2"/>
      </rPr>
      <t xml:space="preserve">玉</t>
    </r>
  </si>
  <si>
    <r>
      <rPr>
        <b val="true"/>
        <sz val="9.5"/>
        <color rgb="FF767676"/>
        <rFont val="Meiryo"/>
        <family val="0"/>
        <charset val="1"/>
      </rPr>
      <t xml:space="preserve">③ CD</t>
    </r>
    <r>
      <rPr>
        <b val="true"/>
        <sz val="9.5"/>
        <color rgb="FF767676"/>
        <rFont val="WenQuanYi Zen Hei"/>
        <family val="2"/>
      </rPr>
      <t xml:space="preserve">玉（在庫）</t>
    </r>
  </si>
  <si>
    <r>
      <rPr>
        <sz val="8.5"/>
        <color rgb="FF767676"/>
        <rFont val="Meiryo"/>
        <family val="0"/>
        <charset val="1"/>
      </rPr>
      <t xml:space="preserve">※ 9/11</t>
    </r>
    <r>
      <rPr>
        <sz val="8.5"/>
        <color rgb="FF767676"/>
        <rFont val="WenQuanYi Zen Hei"/>
        <family val="2"/>
      </rPr>
      <t xml:space="preserve">時点の値・要確認</t>
    </r>
  </si>
  <si>
    <r>
      <rPr>
        <sz val="8.5"/>
        <color rgb="FF767676"/>
        <rFont val="WenQuanYi Zen Hei"/>
        <family val="2"/>
      </rPr>
      <t xml:space="preserve">フェーズ</t>
    </r>
    <r>
      <rPr>
        <sz val="8.5"/>
        <color rgb="FF767676"/>
        <rFont val="Meiryo"/>
        <family val="0"/>
        <charset val="1"/>
      </rPr>
      <t xml:space="preserve">07.</t>
    </r>
    <r>
      <rPr>
        <sz val="8.5"/>
        <color rgb="FF767676"/>
        <rFont val="WenQuanYi Zen Hei"/>
        <family val="2"/>
      </rPr>
      <t xml:space="preserve">成約 </t>
    </r>
    <r>
      <rPr>
        <sz val="8.5"/>
        <color rgb="FF767676"/>
        <rFont val="Meiryo"/>
        <family val="0"/>
        <charset val="1"/>
      </rPr>
      <t xml:space="preserve">8</t>
    </r>
    <r>
      <rPr>
        <sz val="8.5"/>
        <color rgb="FF767676"/>
        <rFont val="WenQuanYi Zen Hei"/>
        <family val="2"/>
      </rPr>
      <t xml:space="preserve">件</t>
    </r>
  </si>
  <si>
    <r>
      <rPr>
        <sz val="8.5"/>
        <color rgb="FF767676"/>
        <rFont val="WenQuanYi Zen Hei"/>
        <family val="2"/>
      </rPr>
      <t xml:space="preserve">確度</t>
    </r>
    <r>
      <rPr>
        <sz val="8.5"/>
        <color rgb="FF767676"/>
        <rFont val="Meiryo"/>
        <family val="0"/>
        <charset val="1"/>
      </rPr>
      <t xml:space="preserve">A</t>
    </r>
    <r>
      <rPr>
        <sz val="8.5"/>
        <color rgb="FF767676"/>
        <rFont val="WenQuanYi Zen Hei"/>
        <family val="2"/>
      </rPr>
      <t xml:space="preserve">・</t>
    </r>
    <r>
      <rPr>
        <sz val="8.5"/>
        <color rgb="FF767676"/>
        <rFont val="Meiryo"/>
        <family val="0"/>
        <charset val="1"/>
      </rPr>
      <t xml:space="preserve">B</t>
    </r>
    <r>
      <rPr>
        <sz val="8.5"/>
        <color rgb="FF767676"/>
        <rFont val="WenQuanYi Zen Hei"/>
        <family val="2"/>
      </rPr>
      <t xml:space="preserve">／未成約 </t>
    </r>
    <r>
      <rPr>
        <sz val="8.5"/>
        <color rgb="FF767676"/>
        <rFont val="Meiryo"/>
        <family val="0"/>
        <charset val="1"/>
      </rPr>
      <t xml:space="preserve">12</t>
    </r>
    <r>
      <rPr>
        <sz val="8.5"/>
        <color rgb="FF767676"/>
        <rFont val="WenQuanYi Zen Hei"/>
        <family val="2"/>
      </rPr>
      <t xml:space="preserve">件</t>
    </r>
  </si>
  <si>
    <r>
      <rPr>
        <sz val="8.5"/>
        <color rgb="FF767676"/>
        <rFont val="WenQuanYi Zen Hei"/>
        <family val="2"/>
      </rPr>
      <t xml:space="preserve">確度</t>
    </r>
    <r>
      <rPr>
        <sz val="8.5"/>
        <color rgb="FF767676"/>
        <rFont val="Meiryo"/>
        <family val="0"/>
        <charset val="1"/>
      </rPr>
      <t xml:space="preserve">C</t>
    </r>
    <r>
      <rPr>
        <sz val="8.5"/>
        <color rgb="FF767676"/>
        <rFont val="WenQuanYi Zen Hei"/>
        <family val="2"/>
      </rPr>
      <t xml:space="preserve">・</t>
    </r>
    <r>
      <rPr>
        <sz val="8.5"/>
        <color rgb="FF767676"/>
        <rFont val="Meiryo"/>
        <family val="0"/>
        <charset val="1"/>
      </rPr>
      <t xml:space="preserve">D</t>
    </r>
    <r>
      <rPr>
        <sz val="8.5"/>
        <color rgb="FF767676"/>
        <rFont val="WenQuanYi Zen Hei"/>
        <family val="2"/>
      </rPr>
      <t xml:space="preserve">／未成約 </t>
    </r>
    <r>
      <rPr>
        <sz val="8.5"/>
        <color rgb="FF767676"/>
        <rFont val="Meiryo"/>
        <family val="0"/>
        <charset val="1"/>
      </rPr>
      <t xml:space="preserve">113</t>
    </r>
    <r>
      <rPr>
        <sz val="8.5"/>
        <color rgb="FF767676"/>
        <rFont val="WenQuanYi Zen Hei"/>
        <family val="2"/>
      </rPr>
      <t xml:space="preserve">件</t>
    </r>
  </si>
  <si>
    <t xml:space="preserve">②　ほぼ動かない確定ライン</t>
  </si>
  <si>
    <r>
      <rPr>
        <sz val="9"/>
        <color rgb="FF767676"/>
        <rFont val="Meiryo"/>
        <family val="0"/>
        <charset val="1"/>
      </rPr>
      <t xml:space="preserve">AB</t>
    </r>
    <r>
      <rPr>
        <sz val="9"/>
        <color rgb="FF767676"/>
        <rFont val="WenQuanYi Zen Hei"/>
        <family val="2"/>
      </rPr>
      <t xml:space="preserve">玉までは確度が高い。残りを</t>
    </r>
    <r>
      <rPr>
        <sz val="9"/>
        <color rgb="FF767676"/>
        <rFont val="Meiryo"/>
        <family val="0"/>
        <charset val="1"/>
      </rPr>
      <t xml:space="preserve">CD</t>
    </r>
    <r>
      <rPr>
        <sz val="9"/>
        <color rgb="FF767676"/>
        <rFont val="WenQuanYi Zen Hei"/>
        <family val="2"/>
      </rPr>
      <t xml:space="preserve">玉から作れるかが下期のすべてです。</t>
    </r>
  </si>
  <si>
    <r>
      <rPr>
        <b val="true"/>
        <sz val="9.5"/>
        <color rgb="FF767676"/>
        <rFont val="Meiryo"/>
        <family val="0"/>
        <charset val="1"/>
      </rPr>
      <t xml:space="preserve">AB</t>
    </r>
    <r>
      <rPr>
        <b val="true"/>
        <sz val="9.5"/>
        <color rgb="FF767676"/>
        <rFont val="WenQuanYi Zen Hei"/>
        <family val="2"/>
      </rPr>
      <t xml:space="preserve">玉ベース着地見込み</t>
    </r>
  </si>
  <si>
    <t xml:space="preserve">下期予算に対する達成率</t>
  </si>
  <si>
    <t xml:space="preserve">残り必要額</t>
  </si>
  <si>
    <t xml:space="preserve">必要転換率</t>
  </si>
  <si>
    <t xml:space="preserve">① ＋ ②</t>
  </si>
  <si>
    <r>
      <rPr>
        <sz val="8.5"/>
        <color rgb="FF767676"/>
        <rFont val="Meiryo"/>
        <family val="0"/>
        <charset val="1"/>
      </rPr>
      <t xml:space="preserve">AB</t>
    </r>
    <r>
      <rPr>
        <sz val="8.5"/>
        <color rgb="FF767676"/>
        <rFont val="WenQuanYi Zen Hei"/>
        <family val="2"/>
      </rPr>
      <t xml:space="preserve">玉ベース着地 </t>
    </r>
    <r>
      <rPr>
        <sz val="8.5"/>
        <color rgb="FF767676"/>
        <rFont val="Meiryo"/>
        <family val="0"/>
        <charset val="1"/>
      </rPr>
      <t xml:space="preserve">÷ </t>
    </r>
    <r>
      <rPr>
        <sz val="8.5"/>
        <color rgb="FF767676"/>
        <rFont val="WenQuanYi Zen Hei"/>
        <family val="2"/>
      </rPr>
      <t xml:space="preserve">下期予算</t>
    </r>
  </si>
  <si>
    <t xml:space="preserve">下期予算 −① −②</t>
  </si>
  <si>
    <r>
      <rPr>
        <sz val="8.5"/>
        <color rgb="FF767676"/>
        <rFont val="WenQuanYi Zen Hei"/>
        <family val="2"/>
      </rPr>
      <t xml:space="preserve">残り必要額 </t>
    </r>
    <r>
      <rPr>
        <sz val="8.5"/>
        <color rgb="FF767676"/>
        <rFont val="Meiryo"/>
        <family val="0"/>
        <charset val="1"/>
      </rPr>
      <t xml:space="preserve">÷ CD</t>
    </r>
    <r>
      <rPr>
        <sz val="8.5"/>
        <color rgb="FF767676"/>
        <rFont val="WenQuanYi Zen Hei"/>
        <family val="2"/>
      </rPr>
      <t xml:space="preserve">玉。これだけ転換できれば予算に届く</t>
    </r>
  </si>
  <si>
    <t xml:space="preserve">③　最終着地の見込み</t>
  </si>
  <si>
    <r>
      <rPr>
        <sz val="9"/>
        <color rgb="FF767676"/>
        <rFont val="Meiryo"/>
        <family val="0"/>
        <charset val="1"/>
      </rPr>
      <t xml:space="preserve">CD</t>
    </r>
    <r>
      <rPr>
        <sz val="9"/>
        <color rgb="FF767676"/>
        <rFont val="WenQuanYi Zen Hei"/>
        <family val="2"/>
      </rPr>
      <t xml:space="preserve">玉を実績どおりの成約率で落とした場合の着地です。</t>
    </r>
  </si>
  <si>
    <t xml:space="preserve">実績の成約率</t>
  </si>
  <si>
    <r>
      <rPr>
        <b val="true"/>
        <sz val="9.5"/>
        <color rgb="FF767676"/>
        <rFont val="Meiryo"/>
        <family val="0"/>
        <charset val="1"/>
      </rPr>
      <t xml:space="preserve">CD</t>
    </r>
    <r>
      <rPr>
        <b val="true"/>
        <sz val="9.5"/>
        <color rgb="FF767676"/>
        <rFont val="WenQuanYi Zen Hei"/>
        <family val="2"/>
      </rPr>
      <t xml:space="preserve">玉からの転換額</t>
    </r>
  </si>
  <si>
    <t xml:space="preserve">最終着地見込み</t>
  </si>
  <si>
    <t xml:space="preserve">下期予算との差</t>
  </si>
  <si>
    <r>
      <rPr>
        <sz val="8.5"/>
        <color rgb="FF767676"/>
        <rFont val="WenQuanYi Zen Hei"/>
        <family val="2"/>
      </rPr>
      <t xml:space="preserve">直近</t>
    </r>
    <r>
      <rPr>
        <sz val="8.5"/>
        <color rgb="FF767676"/>
        <rFont val="Meiryo"/>
        <family val="0"/>
        <charset val="1"/>
      </rPr>
      <t xml:space="preserve">2</t>
    </r>
    <r>
      <rPr>
        <sz val="8.5"/>
        <color rgb="FF767676"/>
        <rFont val="WenQuanYi Zen Hei"/>
        <family val="2"/>
      </rPr>
      <t xml:space="preserve">年</t>
    </r>
    <r>
      <rPr>
        <sz val="8.5"/>
        <color rgb="FF767676"/>
        <rFont val="Meiryo"/>
        <family val="0"/>
        <charset val="1"/>
      </rPr>
      <t xml:space="preserve">593</t>
    </r>
    <r>
      <rPr>
        <sz val="8.5"/>
        <color rgb="FF767676"/>
        <rFont val="WenQuanYi Zen Hei"/>
        <family val="2"/>
      </rPr>
      <t xml:space="preserve">件の実測</t>
    </r>
  </si>
  <si>
    <r>
      <rPr>
        <sz val="8.5"/>
        <color rgb="FF767676"/>
        <rFont val="Meiryo"/>
        <family val="0"/>
        <charset val="1"/>
      </rPr>
      <t xml:space="preserve">CD</t>
    </r>
    <r>
      <rPr>
        <sz val="8.5"/>
        <color rgb="FF767676"/>
        <rFont val="WenQuanYi Zen Hei"/>
        <family val="2"/>
      </rPr>
      <t xml:space="preserve">玉 </t>
    </r>
    <r>
      <rPr>
        <sz val="8.5"/>
        <color rgb="FF767676"/>
        <rFont val="Meiryo"/>
        <family val="0"/>
        <charset val="1"/>
      </rPr>
      <t xml:space="preserve">× </t>
    </r>
    <r>
      <rPr>
        <sz val="8.5"/>
        <color rgb="FF767676"/>
        <rFont val="WenQuanYi Zen Hei"/>
        <family val="2"/>
      </rPr>
      <t xml:space="preserve">実績の成約率</t>
    </r>
  </si>
  <si>
    <t xml:space="preserve">① ＋ ② ＋ 転換額</t>
  </si>
  <si>
    <t xml:space="preserve">下期予算 − 最終着地見込み</t>
  </si>
  <si>
    <r>
      <rPr>
        <b val="true"/>
        <sz val="10"/>
        <color rgb="FFB04A3C"/>
        <rFont val="WenQuanYi Zen Hei"/>
        <family val="2"/>
      </rPr>
      <t xml:space="preserve">必要転換率 </t>
    </r>
    <r>
      <rPr>
        <b val="true"/>
        <sz val="10"/>
        <color rgb="FFB04A3C"/>
        <rFont val="Meiryo"/>
        <family val="0"/>
        <charset val="1"/>
      </rPr>
      <t xml:space="preserve">58.8% </t>
    </r>
    <r>
      <rPr>
        <b val="true"/>
        <sz val="10"/>
        <color rgb="FFB04A3C"/>
        <rFont val="WenQuanYi Zen Hei"/>
        <family val="2"/>
      </rPr>
      <t xml:space="preserve">に対して実績は </t>
    </r>
    <r>
      <rPr>
        <b val="true"/>
        <sz val="10"/>
        <color rgb="FFB04A3C"/>
        <rFont val="Meiryo"/>
        <family val="0"/>
        <charset val="1"/>
      </rPr>
      <t xml:space="preserve">37.3%</t>
    </r>
    <r>
      <rPr>
        <b val="true"/>
        <sz val="10"/>
        <color rgb="FFB04A3C"/>
        <rFont val="WenQuanYi Zen Hei"/>
        <family val="2"/>
      </rPr>
      <t xml:space="preserve">。</t>
    </r>
    <r>
      <rPr>
        <b val="true"/>
        <sz val="10"/>
        <color rgb="FFB04A3C"/>
        <rFont val="Meiryo"/>
        <family val="0"/>
        <charset val="1"/>
      </rPr>
      <t xml:space="preserve">21.5</t>
    </r>
    <r>
      <rPr>
        <b val="true"/>
        <sz val="10"/>
        <color rgb="FFB04A3C"/>
        <rFont val="WenQuanYi Zen Hei"/>
        <family val="2"/>
      </rPr>
      <t xml:space="preserve">ポイント足りません。</t>
    </r>
  </si>
  <si>
    <t xml:space="preserve">④　月別の着地率</t>
  </si>
  <si>
    <r>
      <rPr>
        <sz val="9"/>
        <color rgb="FF767676"/>
        <rFont val="WenQuanYi Zen Hei"/>
        <family val="2"/>
      </rPr>
      <t xml:space="preserve">月予算は下期予算の均等割です。</t>
    </r>
    <r>
      <rPr>
        <sz val="9"/>
        <color rgb="FF767676"/>
        <rFont val="Meiryo"/>
        <family val="0"/>
        <charset val="1"/>
      </rPr>
      <t xml:space="preserve">100%</t>
    </r>
    <r>
      <rPr>
        <sz val="9"/>
        <color rgb="FF767676"/>
        <rFont val="WenQuanYi Zen Hei"/>
        <family val="2"/>
      </rPr>
      <t xml:space="preserve">を超えていれば月予算に届く見込み。</t>
    </r>
  </si>
  <si>
    <r>
      <rPr>
        <b val="true"/>
        <sz val="9.5"/>
        <color rgb="FF767676"/>
        <rFont val="Meiryo"/>
        <family val="0"/>
        <charset val="1"/>
      </rPr>
      <t xml:space="preserve">10</t>
    </r>
    <r>
      <rPr>
        <b val="true"/>
        <sz val="9.5"/>
        <color rgb="FF767676"/>
        <rFont val="WenQuanYi Zen Hei"/>
        <family val="2"/>
      </rPr>
      <t xml:space="preserve">月</t>
    </r>
  </si>
  <si>
    <r>
      <rPr>
        <b val="true"/>
        <sz val="9.5"/>
        <color rgb="FF767676"/>
        <rFont val="Meiryo"/>
        <family val="0"/>
        <charset val="1"/>
      </rPr>
      <t xml:space="preserve">11</t>
    </r>
    <r>
      <rPr>
        <b val="true"/>
        <sz val="9.5"/>
        <color rgb="FF767676"/>
        <rFont val="WenQuanYi Zen Hei"/>
        <family val="2"/>
      </rPr>
      <t xml:space="preserve">月</t>
    </r>
  </si>
  <si>
    <r>
      <rPr>
        <b val="true"/>
        <sz val="9.5"/>
        <color rgb="FF767676"/>
        <rFont val="Meiryo"/>
        <family val="0"/>
        <charset val="1"/>
      </rPr>
      <t xml:space="preserve">12</t>
    </r>
    <r>
      <rPr>
        <b val="true"/>
        <sz val="9.5"/>
        <color rgb="FF767676"/>
        <rFont val="WenQuanYi Zen Hei"/>
        <family val="2"/>
      </rPr>
      <t xml:space="preserve">月</t>
    </r>
  </si>
  <si>
    <r>
      <rPr>
        <b val="true"/>
        <sz val="9.5"/>
        <color rgb="FF767676"/>
        <rFont val="WenQuanYi Zen Hei"/>
        <family val="2"/>
      </rPr>
      <t xml:space="preserve">下期 </t>
    </r>
    <r>
      <rPr>
        <b val="true"/>
        <sz val="9.5"/>
        <color rgb="FF767676"/>
        <rFont val="Meiryo"/>
        <family val="0"/>
        <charset val="1"/>
      </rPr>
      <t xml:space="preserve">6</t>
    </r>
    <r>
      <rPr>
        <b val="true"/>
        <sz val="9.5"/>
        <color rgb="FF767676"/>
        <rFont val="WenQuanYi Zen Hei"/>
        <family val="2"/>
      </rPr>
      <t xml:space="preserve">ヶ月</t>
    </r>
  </si>
  <si>
    <r>
      <rPr>
        <sz val="8.5"/>
        <color rgb="FF767676"/>
        <rFont val="WenQuanYi Zen Hei"/>
        <family val="2"/>
      </rPr>
      <t xml:space="preserve">着地</t>
    </r>
    <r>
      <rPr>
        <sz val="8.5"/>
        <color rgb="FF767676"/>
        <rFont val="Meiryo"/>
        <family val="0"/>
        <charset val="1"/>
      </rPr>
      <t xml:space="preserve">26,560 </t>
    </r>
    <r>
      <rPr>
        <sz val="8.5"/>
        <color rgb="FF767676"/>
        <rFont val="WenQuanYi Zen Hei"/>
        <family val="2"/>
      </rPr>
      <t xml:space="preserve">／ 月予算</t>
    </r>
    <r>
      <rPr>
        <sz val="8.5"/>
        <color rgb="FF767676"/>
        <rFont val="Meiryo"/>
        <family val="0"/>
        <charset val="1"/>
      </rPr>
      <t xml:space="preserve">23,652</t>
    </r>
  </si>
  <si>
    <r>
      <rPr>
        <sz val="8.5"/>
        <color rgb="FF767676"/>
        <rFont val="WenQuanYi Zen Hei"/>
        <family val="2"/>
      </rPr>
      <t xml:space="preserve">着地</t>
    </r>
    <r>
      <rPr>
        <sz val="8.5"/>
        <color rgb="FF767676"/>
        <rFont val="Meiryo"/>
        <family val="0"/>
        <charset val="1"/>
      </rPr>
      <t xml:space="preserve">5,983 </t>
    </r>
    <r>
      <rPr>
        <sz val="8.5"/>
        <color rgb="FF767676"/>
        <rFont val="WenQuanYi Zen Hei"/>
        <family val="2"/>
      </rPr>
      <t xml:space="preserve">／ 月予算</t>
    </r>
    <r>
      <rPr>
        <sz val="8.5"/>
        <color rgb="FF767676"/>
        <rFont val="Meiryo"/>
        <family val="0"/>
        <charset val="1"/>
      </rPr>
      <t xml:space="preserve">23,652</t>
    </r>
  </si>
  <si>
    <r>
      <rPr>
        <sz val="8.5"/>
        <color rgb="FF767676"/>
        <rFont val="WenQuanYi Zen Hei"/>
        <family val="2"/>
      </rPr>
      <t xml:space="preserve">着地</t>
    </r>
    <r>
      <rPr>
        <sz val="8.5"/>
        <color rgb="FF767676"/>
        <rFont val="Meiryo"/>
        <family val="0"/>
        <charset val="1"/>
      </rPr>
      <t xml:space="preserve">21,988 </t>
    </r>
    <r>
      <rPr>
        <sz val="8.5"/>
        <color rgb="FF767676"/>
        <rFont val="WenQuanYi Zen Hei"/>
        <family val="2"/>
      </rPr>
      <t xml:space="preserve">／ 月予算</t>
    </r>
    <r>
      <rPr>
        <sz val="8.5"/>
        <color rgb="FF767676"/>
        <rFont val="Meiryo"/>
        <family val="0"/>
        <charset val="1"/>
      </rPr>
      <t xml:space="preserve">23,652</t>
    </r>
  </si>
  <si>
    <r>
      <rPr>
        <sz val="8.5"/>
        <color rgb="FF767676"/>
        <rFont val="WenQuanYi Zen Hei"/>
        <family val="2"/>
      </rPr>
      <t xml:space="preserve">着地</t>
    </r>
    <r>
      <rPr>
        <sz val="8.5"/>
        <color rgb="FF767676"/>
        <rFont val="Meiryo"/>
        <family val="0"/>
        <charset val="1"/>
      </rPr>
      <t xml:space="preserve">102,407 </t>
    </r>
    <r>
      <rPr>
        <sz val="8.5"/>
        <color rgb="FF767676"/>
        <rFont val="WenQuanYi Zen Hei"/>
        <family val="2"/>
      </rPr>
      <t xml:space="preserve">／ 下期予算</t>
    </r>
    <r>
      <rPr>
        <sz val="8.5"/>
        <color rgb="FF767676"/>
        <rFont val="Meiryo"/>
        <family val="0"/>
        <charset val="1"/>
      </rPr>
      <t xml:space="preserve">141,913</t>
    </r>
  </si>
  <si>
    <r>
      <rPr>
        <b val="true"/>
        <sz val="9.5"/>
        <color rgb="FF767676"/>
        <rFont val="Meiryo"/>
        <family val="0"/>
        <charset val="1"/>
      </rPr>
      <t xml:space="preserve">10</t>
    </r>
    <r>
      <rPr>
        <b val="true"/>
        <sz val="9.5"/>
        <color rgb="FF767676"/>
        <rFont val="WenQuanYi Zen Hei"/>
        <family val="2"/>
      </rPr>
      <t xml:space="preserve">月の過不足</t>
    </r>
  </si>
  <si>
    <r>
      <rPr>
        <b val="true"/>
        <sz val="9.5"/>
        <color rgb="FF767676"/>
        <rFont val="Meiryo"/>
        <family val="0"/>
        <charset val="1"/>
      </rPr>
      <t xml:space="preserve">11</t>
    </r>
    <r>
      <rPr>
        <b val="true"/>
        <sz val="9.5"/>
        <color rgb="FF767676"/>
        <rFont val="WenQuanYi Zen Hei"/>
        <family val="2"/>
      </rPr>
      <t xml:space="preserve">月の過不足</t>
    </r>
  </si>
  <si>
    <r>
      <rPr>
        <b val="true"/>
        <sz val="9.5"/>
        <color rgb="FF767676"/>
        <rFont val="Meiryo"/>
        <family val="0"/>
        <charset val="1"/>
      </rPr>
      <t xml:space="preserve">12</t>
    </r>
    <r>
      <rPr>
        <b val="true"/>
        <sz val="9.5"/>
        <color rgb="FF767676"/>
        <rFont val="WenQuanYi Zen Hei"/>
        <family val="2"/>
      </rPr>
      <t xml:space="preserve">月の過不足</t>
    </r>
  </si>
  <si>
    <r>
      <rPr>
        <b val="true"/>
        <sz val="9.5"/>
        <color rgb="FF767676"/>
        <rFont val="Meiryo"/>
        <family val="0"/>
        <charset val="1"/>
      </rPr>
      <t xml:space="preserve">3</t>
    </r>
    <r>
      <rPr>
        <b val="true"/>
        <sz val="9.5"/>
        <color rgb="FF767676"/>
        <rFont val="WenQuanYi Zen Hei"/>
        <family val="2"/>
      </rPr>
      <t xml:space="preserve">月に寄っている玉</t>
    </r>
  </si>
  <si>
    <t xml:space="preserve">月予算との差</t>
  </si>
  <si>
    <r>
      <rPr>
        <sz val="8.5"/>
        <color rgb="FF767676"/>
        <rFont val="Meiryo"/>
        <family val="0"/>
        <charset val="1"/>
      </rPr>
      <t xml:space="preserve">CD</t>
    </r>
    <r>
      <rPr>
        <sz val="8.5"/>
        <color rgb="FF767676"/>
        <rFont val="WenQuanYi Zen Hei"/>
        <family val="2"/>
      </rPr>
      <t xml:space="preserve">玉の</t>
    </r>
    <r>
      <rPr>
        <sz val="8.5"/>
        <color rgb="FF767676"/>
        <rFont val="Meiryo"/>
        <family val="0"/>
        <charset val="1"/>
      </rPr>
      <t xml:space="preserve">65%</t>
    </r>
    <r>
      <rPr>
        <sz val="8.5"/>
        <color rgb="FF767676"/>
        <rFont val="WenQuanYi Zen Hei"/>
        <family val="2"/>
      </rPr>
      <t xml:space="preserve">が</t>
    </r>
    <r>
      <rPr>
        <sz val="8.5"/>
        <color rgb="FF767676"/>
        <rFont val="Meiryo"/>
        <family val="0"/>
        <charset val="1"/>
      </rPr>
      <t xml:space="preserve">3</t>
    </r>
    <r>
      <rPr>
        <sz val="8.5"/>
        <color rgb="FF767676"/>
        <rFont val="WenQuanYi Zen Hei"/>
        <family val="2"/>
      </rPr>
      <t xml:space="preserve">月完了予定</t>
    </r>
  </si>
  <si>
    <r>
      <rPr>
        <b val="true"/>
        <sz val="10"/>
        <color rgb="FFB04A3C"/>
        <rFont val="Meiryo"/>
        <family val="0"/>
        <charset val="1"/>
      </rPr>
      <t xml:space="preserve">11</t>
    </r>
    <r>
      <rPr>
        <b val="true"/>
        <sz val="10"/>
        <color rgb="FFB04A3C"/>
        <rFont val="WenQuanYi Zen Hei"/>
        <family val="2"/>
      </rPr>
      <t xml:space="preserve">月は玉が</t>
    </r>
    <r>
      <rPr>
        <b val="true"/>
        <sz val="10"/>
        <color rgb="FFB04A3C"/>
        <rFont val="Meiryo"/>
        <family val="0"/>
        <charset val="1"/>
      </rPr>
      <t xml:space="preserve">9</t>
    </r>
    <r>
      <rPr>
        <b val="true"/>
        <sz val="10"/>
        <color rgb="FFB04A3C"/>
        <rFont val="WenQuanYi Zen Hei"/>
        <family val="2"/>
      </rPr>
      <t xml:space="preserve">件・</t>
    </r>
    <r>
      <rPr>
        <b val="true"/>
        <sz val="10"/>
        <color rgb="FFB04A3C"/>
        <rFont val="Meiryo"/>
        <family val="0"/>
        <charset val="1"/>
      </rPr>
      <t xml:space="preserve">9,820</t>
    </r>
    <r>
      <rPr>
        <b val="true"/>
        <sz val="10"/>
        <color rgb="FFB04A3C"/>
        <rFont val="WenQuanYi Zen Hei"/>
        <family val="2"/>
      </rPr>
      <t xml:space="preserve">千円しかありません。必要転換率</t>
    </r>
    <r>
      <rPr>
        <b val="true"/>
        <sz val="10"/>
        <color rgb="FFB04A3C"/>
        <rFont val="Meiryo"/>
        <family val="0"/>
        <charset val="1"/>
      </rPr>
      <t xml:space="preserve">326%</t>
    </r>
    <r>
      <rPr>
        <b val="true"/>
        <sz val="10"/>
        <color rgb="FFB04A3C"/>
        <rFont val="WenQuanYi Zen Hei"/>
        <family val="2"/>
      </rPr>
      <t xml:space="preserve">＝いまの玉では月予算に届きません。</t>
    </r>
  </si>
  <si>
    <r>
      <rPr>
        <b val="true"/>
        <sz val="12"/>
        <color rgb="FF2C5F2D"/>
        <rFont val="WenQuanYi Zen Hei"/>
        <family val="2"/>
      </rPr>
      <t xml:space="preserve">⑤　</t>
    </r>
    <r>
      <rPr>
        <b val="true"/>
        <sz val="12"/>
        <color rgb="FF2C5F2D"/>
        <rFont val="Meiryo"/>
        <family val="0"/>
        <charset val="1"/>
      </rPr>
      <t xml:space="preserve">9</t>
    </r>
    <r>
      <rPr>
        <b val="true"/>
        <sz val="12"/>
        <color rgb="FF2C5F2D"/>
        <rFont val="WenQuanYi Zen Hei"/>
        <family val="2"/>
      </rPr>
      <t xml:space="preserve">月に起きたこと（</t>
    </r>
    <r>
      <rPr>
        <b val="true"/>
        <sz val="12"/>
        <color rgb="FF2C5F2D"/>
        <rFont val="Meiryo"/>
        <family val="0"/>
        <charset val="1"/>
      </rPr>
      <t xml:space="preserve">AB</t>
    </r>
    <r>
      <rPr>
        <b val="true"/>
        <sz val="12"/>
        <color rgb="FF2C5F2D"/>
        <rFont val="WenQuanYi Zen Hei"/>
        <family val="2"/>
      </rPr>
      <t xml:space="preserve">総玉の増減）</t>
    </r>
  </si>
  <si>
    <r>
      <rPr>
        <sz val="9"/>
        <color rgb="FF767676"/>
        <rFont val="Meiryo"/>
        <family val="0"/>
        <charset val="1"/>
      </rPr>
      <t xml:space="preserve">2026/09/01 </t>
    </r>
    <r>
      <rPr>
        <sz val="9"/>
        <color rgb="FF767676"/>
        <rFont val="WenQuanYi Zen Hei"/>
        <family val="2"/>
      </rPr>
      <t xml:space="preserve">〜 </t>
    </r>
    <r>
      <rPr>
        <sz val="9"/>
        <color rgb="FF767676"/>
        <rFont val="Meiryo"/>
        <family val="0"/>
        <charset val="1"/>
      </rPr>
      <t xml:space="preserve">09/28 </t>
    </r>
    <r>
      <rPr>
        <sz val="9"/>
        <color rgb="FF767676"/>
        <rFont val="WenQuanYi Zen Hei"/>
        <family val="2"/>
      </rPr>
      <t xml:space="preserve">の</t>
    </r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変更履歴</t>
    </r>
    <r>
      <rPr>
        <sz val="9"/>
        <color rgb="FF767676"/>
        <rFont val="Meiryo"/>
        <family val="0"/>
        <charset val="1"/>
      </rPr>
      <t xml:space="preserve">405</t>
    </r>
    <r>
      <rPr>
        <sz val="9"/>
        <color rgb="FF767676"/>
        <rFont val="WenQuanYi Zen Hei"/>
        <family val="2"/>
      </rPr>
      <t xml:space="preserve">件を再生。</t>
    </r>
    <r>
      <rPr>
        <sz val="9"/>
        <color rgb="FF767676"/>
        <rFont val="Meiryo"/>
        <family val="0"/>
        <charset val="1"/>
      </rPr>
      <t xml:space="preserve">9/29</t>
    </r>
    <r>
      <rPr>
        <sz val="9"/>
        <color rgb="FF767676"/>
        <rFont val="WenQuanYi Zen Hei"/>
        <family val="2"/>
      </rPr>
      <t xml:space="preserve">・</t>
    </r>
    <r>
      <rPr>
        <sz val="9"/>
        <color rgb="FF767676"/>
        <rFont val="Meiryo"/>
        <family val="0"/>
        <charset val="1"/>
      </rPr>
      <t xml:space="preserve">9/30</t>
    </r>
    <r>
      <rPr>
        <sz val="9"/>
        <color rgb="FF767676"/>
        <rFont val="WenQuanYi Zen Hei"/>
        <family val="2"/>
      </rPr>
      <t xml:space="preserve">は含みません。</t>
    </r>
  </si>
  <si>
    <r>
      <rPr>
        <b val="true"/>
        <sz val="9.5"/>
        <color rgb="FF767676"/>
        <rFont val="WenQuanYi Zen Hei"/>
        <family val="2"/>
      </rPr>
      <t xml:space="preserve">全社 </t>
    </r>
    <r>
      <rPr>
        <b val="true"/>
        <sz val="9.5"/>
        <color rgb="FF767676"/>
        <rFont val="Meiryo"/>
        <family val="0"/>
        <charset val="1"/>
      </rPr>
      <t xml:space="preserve">AB</t>
    </r>
    <r>
      <rPr>
        <b val="true"/>
        <sz val="9.5"/>
        <color rgb="FF767676"/>
        <rFont val="WenQuanYi Zen Hei"/>
        <family val="2"/>
      </rPr>
      <t xml:space="preserve">総玉</t>
    </r>
  </si>
  <si>
    <r>
      <rPr>
        <b val="true"/>
        <sz val="9.5"/>
        <color rgb="FF767676"/>
        <rFont val="WenQuanYi Zen Hei"/>
        <family val="2"/>
      </rPr>
      <t xml:space="preserve">コーデ</t>
    </r>
    <r>
      <rPr>
        <b val="true"/>
        <sz val="9.5"/>
        <color rgb="FF767676"/>
        <rFont val="Meiryo"/>
        <family val="0"/>
        <charset val="1"/>
      </rPr>
      <t xml:space="preserve">+TREEBATON</t>
    </r>
  </si>
  <si>
    <t xml:space="preserve">建築</t>
  </si>
  <si>
    <t xml:space="preserve">その他</t>
  </si>
  <si>
    <r>
      <rPr>
        <sz val="8.5"/>
        <color rgb="FF767676"/>
        <rFont val="Meiryo"/>
        <family val="0"/>
        <charset val="1"/>
      </rPr>
      <t xml:space="preserve">9/1 → 9/28 </t>
    </r>
    <r>
      <rPr>
        <sz val="8.5"/>
        <color rgb="FF767676"/>
        <rFont val="WenQuanYi Zen Hei"/>
        <family val="2"/>
      </rPr>
      <t xml:space="preserve">の純増</t>
    </r>
  </si>
  <si>
    <t xml:space="preserve">最大の増加要因</t>
  </si>
  <si>
    <t xml:space="preserve">枠材製作モックアップの新規</t>
  </si>
  <si>
    <r>
      <rPr>
        <sz val="8.5"/>
        <color rgb="FF767676"/>
        <rFont val="Meiryo"/>
        <family val="0"/>
        <charset val="1"/>
      </rPr>
      <t xml:space="preserve">FM_</t>
    </r>
    <r>
      <rPr>
        <sz val="8.5"/>
        <color rgb="FF767676"/>
        <rFont val="WenQuanYi Zen Hei"/>
        <family val="2"/>
      </rPr>
      <t xml:space="preserve">フルサポートの期ズレ</t>
    </r>
  </si>
  <si>
    <r>
      <rPr>
        <b val="true"/>
        <sz val="9.5"/>
        <color rgb="FF767676"/>
        <rFont val="WenQuanYi Zen Hei"/>
        <family val="2"/>
      </rPr>
      <t xml:space="preserve">確度</t>
    </r>
    <r>
      <rPr>
        <b val="true"/>
        <sz val="9.5"/>
        <color rgb="FF767676"/>
        <rFont val="Meiryo"/>
        <family val="0"/>
        <charset val="1"/>
      </rPr>
      <t xml:space="preserve">UP</t>
    </r>
    <r>
      <rPr>
        <b val="true"/>
        <sz val="9.5"/>
        <color rgb="FF767676"/>
        <rFont val="WenQuanYi Zen Hei"/>
        <family val="2"/>
      </rPr>
      <t xml:space="preserve">による増加</t>
    </r>
  </si>
  <si>
    <t xml:space="preserve">新規作成による増加</t>
  </si>
  <si>
    <r>
      <rPr>
        <b val="true"/>
        <sz val="9.5"/>
        <color rgb="FF767676"/>
        <rFont val="Meiryo"/>
        <family val="0"/>
        <charset val="1"/>
      </rPr>
      <t xml:space="preserve">9</t>
    </r>
    <r>
      <rPr>
        <b val="true"/>
        <sz val="9.5"/>
        <color rgb="FF767676"/>
        <rFont val="WenQuanYi Zen Hei"/>
        <family val="2"/>
      </rPr>
      <t xml:space="preserve">月の成約</t>
    </r>
  </si>
  <si>
    <r>
      <rPr>
        <b val="true"/>
        <sz val="9.5"/>
        <color rgb="FF767676"/>
        <rFont val="Meiryo"/>
        <family val="0"/>
        <charset val="1"/>
      </rPr>
      <t xml:space="preserve">9</t>
    </r>
    <r>
      <rPr>
        <b val="true"/>
        <sz val="9.5"/>
        <color rgb="FF767676"/>
        <rFont val="WenQuanYi Zen Hei"/>
        <family val="2"/>
      </rPr>
      <t xml:space="preserve">月の失注</t>
    </r>
  </si>
  <si>
    <r>
      <rPr>
        <sz val="8.5"/>
        <color rgb="FF767676"/>
        <rFont val="Meiryo"/>
        <family val="0"/>
        <charset val="1"/>
      </rPr>
      <t xml:space="preserve">6</t>
    </r>
    <r>
      <rPr>
        <sz val="8.5"/>
        <color rgb="FF767676"/>
        <rFont val="WenQuanYi Zen Hei"/>
        <family val="2"/>
      </rPr>
      <t xml:space="preserve">件。</t>
    </r>
    <r>
      <rPr>
        <sz val="8.5"/>
        <color rgb="FF767676"/>
        <rFont val="Meiryo"/>
        <family val="0"/>
        <charset val="1"/>
      </rPr>
      <t xml:space="preserve">AB</t>
    </r>
    <r>
      <rPr>
        <sz val="8.5"/>
        <color rgb="FF767676"/>
        <rFont val="WenQuanYi Zen Hei"/>
        <family val="2"/>
      </rPr>
      <t xml:space="preserve">総玉増加の</t>
    </r>
    <r>
      <rPr>
        <sz val="8.5"/>
        <color rgb="FF767676"/>
        <rFont val="Meiryo"/>
        <family val="0"/>
        <charset val="1"/>
      </rPr>
      <t xml:space="preserve">99%</t>
    </r>
  </si>
  <si>
    <r>
      <rPr>
        <sz val="8.5"/>
        <color rgb="FF767676"/>
        <rFont val="Meiryo"/>
        <family val="0"/>
        <charset val="1"/>
      </rPr>
      <t xml:space="preserve">12</t>
    </r>
    <r>
      <rPr>
        <sz val="8.5"/>
        <color rgb="FF767676"/>
        <rFont val="WenQuanYi Zen Hei"/>
        <family val="2"/>
      </rPr>
      <t xml:space="preserve">件のみ</t>
    </r>
    <r>
      <rPr>
        <sz val="8.5"/>
        <color rgb="FF767676"/>
        <rFont val="Meiryo"/>
        <family val="0"/>
        <charset val="1"/>
      </rPr>
      <t xml:space="preserve">AB</t>
    </r>
    <r>
      <rPr>
        <sz val="8.5"/>
        <color rgb="FF767676"/>
        <rFont val="WenQuanYi Zen Hei"/>
        <family val="2"/>
      </rPr>
      <t xml:space="preserve">玉に乗った</t>
    </r>
  </si>
  <si>
    <r>
      <rPr>
        <sz val="8.5"/>
        <color rgb="FF767676"/>
        <rFont val="Meiryo"/>
        <family val="0"/>
        <charset val="1"/>
      </rPr>
      <t xml:space="preserve">14</t>
    </r>
    <r>
      <rPr>
        <sz val="8.5"/>
        <color rgb="FF767676"/>
        <rFont val="WenQuanYi Zen Hei"/>
        <family val="2"/>
      </rPr>
      <t xml:space="preserve">件</t>
    </r>
  </si>
  <si>
    <r>
      <rPr>
        <sz val="8.5"/>
        <color rgb="FF767676"/>
        <rFont val="WenQuanYi Zen Hei"/>
        <family val="2"/>
      </rPr>
      <t xml:space="preserve">件。すべて確度</t>
    </r>
    <r>
      <rPr>
        <sz val="8.5"/>
        <color rgb="FF767676"/>
        <rFont val="Meiryo"/>
        <family val="0"/>
        <charset val="1"/>
      </rPr>
      <t xml:space="preserve">C</t>
    </r>
    <r>
      <rPr>
        <sz val="8.5"/>
        <color rgb="FF767676"/>
        <rFont val="WenQuanYi Zen Hei"/>
        <family val="2"/>
      </rPr>
      <t xml:space="preserve">・</t>
    </r>
    <r>
      <rPr>
        <sz val="8.5"/>
        <color rgb="FF767676"/>
        <rFont val="Meiryo"/>
        <family val="0"/>
        <charset val="1"/>
      </rPr>
      <t xml:space="preserve">D</t>
    </r>
    <r>
      <rPr>
        <sz val="8.5"/>
        <color rgb="FF767676"/>
        <rFont val="WenQuanYi Zen Hei"/>
        <family val="2"/>
      </rPr>
      <t xml:space="preserve">のため</t>
    </r>
    <r>
      <rPr>
        <sz val="8.5"/>
        <color rgb="FF767676"/>
        <rFont val="Meiryo"/>
        <family val="0"/>
        <charset val="1"/>
      </rPr>
      <t xml:space="preserve">AB</t>
    </r>
    <r>
      <rPr>
        <sz val="8.5"/>
        <color rgb="FF767676"/>
        <rFont val="WenQuanYi Zen Hei"/>
        <family val="2"/>
      </rPr>
      <t xml:space="preserve">玉に影響なし</t>
    </r>
  </si>
  <si>
    <r>
      <rPr>
        <b val="true"/>
        <sz val="10"/>
        <color rgb="FFC87941"/>
        <rFont val="WenQuanYi Zen Hei"/>
        <family val="2"/>
      </rPr>
      <t xml:space="preserve">増加の</t>
    </r>
    <r>
      <rPr>
        <b val="true"/>
        <sz val="10"/>
        <color rgb="FFC87941"/>
        <rFont val="Meiryo"/>
        <family val="0"/>
        <charset val="1"/>
      </rPr>
      <t xml:space="preserve">99%</t>
    </r>
    <r>
      <rPr>
        <b val="true"/>
        <sz val="10"/>
        <color rgb="FFC87941"/>
        <rFont val="WenQuanYi Zen Hei"/>
        <family val="2"/>
      </rPr>
      <t xml:space="preserve">が「確度</t>
    </r>
    <r>
      <rPr>
        <b val="true"/>
        <sz val="10"/>
        <color rgb="FFC87941"/>
        <rFont val="Meiryo"/>
        <family val="0"/>
        <charset val="1"/>
      </rPr>
      <t xml:space="preserve">UP</t>
    </r>
    <r>
      <rPr>
        <b val="true"/>
        <sz val="10"/>
        <color rgb="FFC87941"/>
        <rFont val="WenQuanYi Zen Hei"/>
        <family val="2"/>
      </rPr>
      <t xml:space="preserve">」。うち</t>
    </r>
    <r>
      <rPr>
        <b val="true"/>
        <sz val="10"/>
        <color rgb="FFC87941"/>
        <rFont val="Meiryo"/>
        <family val="0"/>
        <charset val="1"/>
      </rPr>
      <t xml:space="preserve">89%</t>
    </r>
    <r>
      <rPr>
        <b val="true"/>
        <sz val="10"/>
        <color rgb="FFC87941"/>
        <rFont val="WenQuanYi Zen Hei"/>
        <family val="2"/>
      </rPr>
      <t xml:space="preserve">が認証桧柾目材供給</t>
    </r>
    <r>
      <rPr>
        <b val="true"/>
        <sz val="10"/>
        <color rgb="FFC87941"/>
        <rFont val="Meiryo"/>
        <family val="0"/>
        <charset val="1"/>
      </rPr>
      <t xml:space="preserve">PJ</t>
    </r>
    <r>
      <rPr>
        <b val="true"/>
        <sz val="10"/>
        <color rgb="FFC87941"/>
        <rFont val="WenQuanYi Zen Hei"/>
        <family val="2"/>
      </rPr>
      <t xml:space="preserve">（</t>
    </r>
    <r>
      <rPr>
        <b val="true"/>
        <sz val="10"/>
        <color rgb="FFC87941"/>
        <rFont val="Meiryo"/>
        <family val="0"/>
        <charset val="1"/>
      </rPr>
      <t xml:space="preserve">2</t>
    </r>
    <r>
      <rPr>
        <b val="true"/>
        <sz val="10"/>
        <color rgb="FFC87941"/>
        <rFont val="WenQuanYi Zen Hei"/>
        <family val="2"/>
      </rPr>
      <t xml:space="preserve">回目＋</t>
    </r>
    <r>
      <rPr>
        <b val="true"/>
        <sz val="10"/>
        <color rgb="FFC87941"/>
        <rFont val="Meiryo"/>
        <family val="0"/>
        <charset val="1"/>
      </rPr>
      <t xml:space="preserve">3</t>
    </r>
    <r>
      <rPr>
        <b val="true"/>
        <sz val="10"/>
        <color rgb="FFC87941"/>
        <rFont val="WenQuanYi Zen Hei"/>
        <family val="2"/>
      </rPr>
      <t xml:space="preserve">回目）の</t>
    </r>
    <r>
      <rPr>
        <b val="true"/>
        <sz val="10"/>
        <color rgb="FFC87941"/>
        <rFont val="Meiryo"/>
        <family val="0"/>
        <charset val="1"/>
      </rPr>
      <t xml:space="preserve">2</t>
    </r>
    <r>
      <rPr>
        <b val="true"/>
        <sz val="10"/>
        <color rgb="FFC87941"/>
        <rFont val="WenQuanYi Zen Hei"/>
        <family val="2"/>
      </rPr>
      <t xml:space="preserve">件に集中しています。</t>
    </r>
  </si>
  <si>
    <t xml:space="preserve">⑥　着地シミュレーション（黄色だけ編集）</t>
  </si>
  <si>
    <t xml:space="preserve">転換率を上げたら、金額未入力を埋めたら、着地はどうなるか。黄色のセルを変えると下の数字が動きます。</t>
  </si>
  <si>
    <t xml:space="preserve">【入力】想定する転換率</t>
  </si>
  <si>
    <r>
      <rPr>
        <b val="true"/>
        <sz val="9.5"/>
        <color rgb="FF767676"/>
        <rFont val="WenQuanYi Zen Hei"/>
        <family val="2"/>
      </rPr>
      <t xml:space="preserve">【入力】未入力</t>
    </r>
    <r>
      <rPr>
        <b val="true"/>
        <sz val="9.5"/>
        <color rgb="FF767676"/>
        <rFont val="Meiryo"/>
        <family val="0"/>
        <charset val="1"/>
      </rPr>
      <t xml:space="preserve">34</t>
    </r>
    <r>
      <rPr>
        <b val="true"/>
        <sz val="9.5"/>
        <color rgb="FF767676"/>
        <rFont val="WenQuanYi Zen Hei"/>
        <family val="2"/>
      </rPr>
      <t xml:space="preserve">件の単価</t>
    </r>
  </si>
  <si>
    <r>
      <rPr>
        <b val="true"/>
        <sz val="9.5"/>
        <color rgb="FF767676"/>
        <rFont val="WenQuanYi Zen Hei"/>
        <family val="2"/>
      </rPr>
      <t xml:space="preserve">補完後の</t>
    </r>
    <r>
      <rPr>
        <b val="true"/>
        <sz val="9.5"/>
        <color rgb="FF767676"/>
        <rFont val="Meiryo"/>
        <family val="0"/>
        <charset val="1"/>
      </rPr>
      <t xml:space="preserve">CD</t>
    </r>
    <r>
      <rPr>
        <b val="true"/>
        <sz val="9.5"/>
        <color rgb="FF767676"/>
        <rFont val="WenQuanYi Zen Hei"/>
        <family val="2"/>
      </rPr>
      <t xml:space="preserve">玉</t>
    </r>
  </si>
  <si>
    <t xml:space="preserve">シミュ後の転換額</t>
  </si>
  <si>
    <r>
      <rPr>
        <sz val="8.5"/>
        <color rgb="FF767676"/>
        <rFont val="WenQuanYi Zen Hei"/>
        <family val="2"/>
      </rPr>
      <t xml:space="preserve">黄色セル。実績は</t>
    </r>
    <r>
      <rPr>
        <sz val="8.5"/>
        <color rgb="FF767676"/>
        <rFont val="Meiryo"/>
        <family val="0"/>
        <charset val="1"/>
      </rPr>
      <t xml:space="preserve">37.3%</t>
    </r>
  </si>
  <si>
    <r>
      <rPr>
        <sz val="8.5"/>
        <color rgb="FF767676"/>
        <rFont val="WenQuanYi Zen Hei"/>
        <family val="2"/>
      </rPr>
      <t xml:space="preserve">黄色セル。中央値は</t>
    </r>
    <r>
      <rPr>
        <sz val="8.5"/>
        <color rgb="FF767676"/>
        <rFont val="Meiryo"/>
        <family val="0"/>
        <charset val="1"/>
      </rPr>
      <t xml:space="preserve">1,000</t>
    </r>
    <r>
      <rPr>
        <sz val="8.5"/>
        <color rgb="FF767676"/>
        <rFont val="WenQuanYi Zen Hei"/>
        <family val="2"/>
      </rPr>
      <t xml:space="preserve">千円</t>
    </r>
  </si>
  <si>
    <r>
      <rPr>
        <sz val="8.5"/>
        <color rgb="FF767676"/>
        <rFont val="Meiryo"/>
        <family val="0"/>
        <charset val="1"/>
      </rPr>
      <t xml:space="preserve">CD</t>
    </r>
    <r>
      <rPr>
        <sz val="8.5"/>
        <color rgb="FF767676"/>
        <rFont val="WenQuanYi Zen Hei"/>
        <family val="2"/>
      </rPr>
      <t xml:space="preserve">玉 ＋ 未入力件数 </t>
    </r>
    <r>
      <rPr>
        <sz val="8.5"/>
        <color rgb="FF767676"/>
        <rFont val="Meiryo"/>
        <family val="0"/>
        <charset val="1"/>
      </rPr>
      <t xml:space="preserve">× </t>
    </r>
    <r>
      <rPr>
        <sz val="8.5"/>
        <color rgb="FF767676"/>
        <rFont val="WenQuanYi Zen Hei"/>
        <family val="2"/>
      </rPr>
      <t xml:space="preserve">単価</t>
    </r>
  </si>
  <si>
    <r>
      <rPr>
        <sz val="8.5"/>
        <color rgb="FF767676"/>
        <rFont val="WenQuanYi Zen Hei"/>
        <family val="2"/>
      </rPr>
      <t xml:space="preserve">補完後</t>
    </r>
    <r>
      <rPr>
        <sz val="8.5"/>
        <color rgb="FF767676"/>
        <rFont val="Meiryo"/>
        <family val="0"/>
        <charset val="1"/>
      </rPr>
      <t xml:space="preserve">CD</t>
    </r>
    <r>
      <rPr>
        <sz val="8.5"/>
        <color rgb="FF767676"/>
        <rFont val="WenQuanYi Zen Hei"/>
        <family val="2"/>
      </rPr>
      <t xml:space="preserve">玉 </t>
    </r>
    <r>
      <rPr>
        <sz val="8.5"/>
        <color rgb="FF767676"/>
        <rFont val="Meiryo"/>
        <family val="0"/>
        <charset val="1"/>
      </rPr>
      <t xml:space="preserve">× </t>
    </r>
    <r>
      <rPr>
        <sz val="8.5"/>
        <color rgb="FF767676"/>
        <rFont val="WenQuanYi Zen Hei"/>
        <family val="2"/>
      </rPr>
      <t xml:space="preserve">想定転換率</t>
    </r>
  </si>
  <si>
    <t xml:space="preserve">シミュ後の最終着地</t>
  </si>
  <si>
    <t xml:space="preserve">シミュ後の着地率</t>
  </si>
  <si>
    <t xml:space="preserve">シミュ後の不足</t>
  </si>
  <si>
    <t xml:space="preserve">現状からの改善</t>
  </si>
  <si>
    <r>
      <rPr>
        <sz val="8.5"/>
        <color rgb="FF767676"/>
        <rFont val="Meiryo"/>
        <family val="0"/>
        <charset val="1"/>
      </rPr>
      <t xml:space="preserve">AB</t>
    </r>
    <r>
      <rPr>
        <sz val="8.5"/>
        <color rgb="FF767676"/>
        <rFont val="WenQuanYi Zen Hei"/>
        <family val="2"/>
      </rPr>
      <t xml:space="preserve">玉ベース着地 ＋ 転換額</t>
    </r>
  </si>
  <si>
    <r>
      <rPr>
        <sz val="8.5"/>
        <color rgb="FF767676"/>
        <rFont val="WenQuanYi Zen Hei"/>
        <family val="2"/>
      </rPr>
      <t xml:space="preserve">最終着地 </t>
    </r>
    <r>
      <rPr>
        <sz val="8.5"/>
        <color rgb="FF767676"/>
        <rFont val="Meiryo"/>
        <family val="0"/>
        <charset val="1"/>
      </rPr>
      <t xml:space="preserve">÷ </t>
    </r>
    <r>
      <rPr>
        <sz val="8.5"/>
        <color rgb="FF767676"/>
        <rFont val="WenQuanYi Zen Hei"/>
        <family val="2"/>
      </rPr>
      <t xml:space="preserve">下期予算</t>
    </r>
  </si>
  <si>
    <t xml:space="preserve">シミュ後の最終着地 − 下期予算</t>
  </si>
  <si>
    <t xml:space="preserve">現状の着地見込みとの差</t>
  </si>
  <si>
    <t xml:space="preserve">前提（入力値）</t>
  </si>
  <si>
    <t xml:space="preserve">スコープ</t>
  </si>
  <si>
    <r>
      <rPr>
        <sz val="10"/>
        <rFont val="WenQuanYi Zen Hei"/>
        <family val="2"/>
      </rPr>
      <t xml:space="preserve">木材コーディネート＋</t>
    </r>
    <r>
      <rPr>
        <sz val="10"/>
        <rFont val="Meiryo"/>
        <family val="0"/>
        <charset val="1"/>
      </rPr>
      <t xml:space="preserve">TREEBATON</t>
    </r>
    <r>
      <rPr>
        <sz val="10"/>
        <rFont val="WenQuanYi Zen Hei"/>
        <family val="2"/>
      </rPr>
      <t xml:space="preserve">／フェーズ</t>
    </r>
    <r>
      <rPr>
        <sz val="10"/>
        <rFont val="Meiryo"/>
        <family val="0"/>
        <charset val="1"/>
      </rPr>
      <t xml:space="preserve">00_</t>
    </r>
    <r>
      <rPr>
        <sz val="10"/>
        <rFont val="WenQuanYi Zen Hei"/>
        <family val="2"/>
      </rPr>
      <t xml:space="preserve">失注を除外／</t>
    </r>
    <r>
      <rPr>
        <sz val="10"/>
        <rFont val="Meiryo"/>
        <family val="0"/>
        <charset val="1"/>
      </rPr>
      <t xml:space="preserve">OEM</t>
    </r>
    <r>
      <rPr>
        <sz val="10"/>
        <rFont val="WenQuanYi Zen Hei"/>
        <family val="2"/>
      </rPr>
      <t xml:space="preserve">・建築は含まない</t>
    </r>
  </si>
  <si>
    <t xml:space="preserve">データ基準日</t>
  </si>
  <si>
    <r>
      <rPr>
        <sz val="10"/>
        <rFont val="Meiryo"/>
        <family val="0"/>
        <charset val="1"/>
      </rPr>
      <t xml:space="preserve">2026/10/05 SF</t>
    </r>
    <r>
      <rPr>
        <sz val="10"/>
        <rFont val="WenQuanYi Zen Hei"/>
        <family val="2"/>
      </rPr>
      <t xml:space="preserve">出力（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月増減は </t>
    </r>
    <r>
      <rPr>
        <sz val="10"/>
        <rFont val="Meiryo"/>
        <family val="0"/>
        <charset val="1"/>
      </rPr>
      <t xml:space="preserve">09/01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09/28 </t>
    </r>
    <r>
      <rPr>
        <sz val="10"/>
        <rFont val="WenQuanYi Zen Hei"/>
        <family val="2"/>
      </rPr>
      <t xml:space="preserve">の変更履歴）</t>
    </r>
  </si>
  <si>
    <t xml:space="preserve">出典</t>
  </si>
  <si>
    <r>
      <rPr>
        <sz val="10"/>
        <rFont val="WenQuanYi Zen Hei"/>
        <family val="2"/>
      </rPr>
      <t xml:space="preserve">★コーデ</t>
    </r>
    <r>
      <rPr>
        <sz val="10"/>
        <rFont val="Meiryo"/>
        <family val="0"/>
        <charset val="1"/>
      </rPr>
      <t xml:space="preserve">TB_</t>
    </r>
    <r>
      <rPr>
        <sz val="10"/>
        <rFont val="WenQuanYi Zen Hei"/>
        <family val="2"/>
      </rPr>
      <t xml:space="preserve">総商談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通期</t>
    </r>
    <r>
      <rPr>
        <sz val="10"/>
        <rFont val="Meiryo"/>
        <family val="0"/>
        <charset val="1"/>
      </rPr>
      <t xml:space="preserve">_26</t>
    </r>
    <r>
      <rPr>
        <sz val="10"/>
        <rFont val="WenQuanYi Zen Hei"/>
        <family val="2"/>
      </rPr>
      <t xml:space="preserve">年度（</t>
    </r>
    <r>
      <rPr>
        <sz val="10"/>
        <rFont val="Meiryo"/>
        <family val="0"/>
        <charset val="1"/>
      </rPr>
      <t xml:space="preserve">235</t>
    </r>
    <r>
      <rPr>
        <sz val="10"/>
        <rFont val="WenQuanYi Zen Hei"/>
        <family val="2"/>
      </rPr>
      <t xml:space="preserve">件）／★コーデ</t>
    </r>
    <r>
      <rPr>
        <sz val="10"/>
        <rFont val="Meiryo"/>
        <family val="0"/>
        <charset val="1"/>
      </rPr>
      <t xml:space="preserve">TB_AB_</t>
    </r>
    <r>
      <rPr>
        <sz val="10"/>
        <rFont val="WenQuanYi Zen Hei"/>
        <family val="2"/>
      </rPr>
      <t xml:space="preserve">下期</t>
    </r>
    <r>
      <rPr>
        <sz val="10"/>
        <rFont val="Meiryo"/>
        <family val="0"/>
        <charset val="1"/>
      </rPr>
      <t xml:space="preserve">_26</t>
    </r>
    <r>
      <rPr>
        <sz val="10"/>
        <rFont val="WenQuanYi Zen Hei"/>
        <family val="2"/>
      </rPr>
      <t xml:space="preserve">年度（</t>
    </r>
    <r>
      <rPr>
        <sz val="10"/>
        <rFont val="Meiryo"/>
        <family val="0"/>
        <charset val="1"/>
      </rPr>
      <t xml:space="preserve">20</t>
    </r>
    <r>
      <rPr>
        <sz val="10"/>
        <rFont val="WenQuanYi Zen Hei"/>
        <family val="2"/>
      </rPr>
      <t xml:space="preserve">件）／商談変更履歴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本</t>
    </r>
  </si>
  <si>
    <t xml:space="preserve">■ ここだけ更新すれば全シートが再計算されます</t>
  </si>
  <si>
    <t xml:space="preserve">下期予算（千円）</t>
  </si>
  <si>
    <r>
      <rPr>
        <sz val="9"/>
        <color rgb="FF767676"/>
        <rFont val="Meiryo"/>
        <family val="0"/>
        <charset val="1"/>
      </rPr>
      <t xml:space="preserve">※ 9/11</t>
    </r>
    <r>
      <rPr>
        <sz val="9"/>
        <color rgb="FF767676"/>
        <rFont val="WenQuanYi Zen Hei"/>
        <family val="2"/>
      </rPr>
      <t xml:space="preserve">時点で使用した値。</t>
    </r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の正式な下期予算と一致するか要確認</t>
    </r>
  </si>
  <si>
    <t xml:space="preserve">下期の月数</t>
  </si>
  <si>
    <r>
      <rPr>
        <sz val="9"/>
        <color rgb="FF767676"/>
        <rFont val="Meiryo"/>
        <family val="0"/>
        <charset val="1"/>
      </rPr>
      <t xml:space="preserve">※ 10</t>
    </r>
    <r>
      <rPr>
        <sz val="9"/>
        <color rgb="FF767676"/>
        <rFont val="WenQuanYi Zen Hei"/>
        <family val="2"/>
      </rPr>
      <t xml:space="preserve">月〜</t>
    </r>
    <r>
      <rPr>
        <sz val="9"/>
        <color rgb="FF767676"/>
        <rFont val="Meiryo"/>
        <family val="0"/>
        <charset val="1"/>
      </rPr>
      <t xml:space="preserve">3</t>
    </r>
    <r>
      <rPr>
        <sz val="9"/>
        <color rgb="FF767676"/>
        <rFont val="WenQuanYi Zen Hei"/>
        <family val="2"/>
      </rPr>
      <t xml:space="preserve">月</t>
    </r>
  </si>
  <si>
    <r>
      <rPr>
        <b val="true"/>
        <sz val="10"/>
        <rFont val="Meiryo"/>
        <family val="0"/>
        <charset val="1"/>
      </rPr>
      <t xml:space="preserve">CD</t>
    </r>
    <r>
      <rPr>
        <b val="true"/>
        <sz val="10"/>
        <rFont val="WenQuanYi Zen Hei"/>
        <family val="2"/>
      </rPr>
      <t xml:space="preserve">玉の想定転換率</t>
    </r>
  </si>
  <si>
    <r>
      <rPr>
        <sz val="9"/>
        <color rgb="FF767676"/>
        <rFont val="WenQuanYi Zen Hei"/>
        <family val="2"/>
      </rPr>
      <t xml:space="preserve">※ 直近</t>
    </r>
    <r>
      <rPr>
        <sz val="9"/>
        <color rgb="FF767676"/>
        <rFont val="Meiryo"/>
        <family val="0"/>
        <charset val="1"/>
      </rPr>
      <t xml:space="preserve">2</t>
    </r>
    <r>
      <rPr>
        <sz val="9"/>
        <color rgb="FF767676"/>
        <rFont val="WenQuanYi Zen Hei"/>
        <family val="2"/>
      </rPr>
      <t xml:space="preserve">年</t>
    </r>
    <r>
      <rPr>
        <sz val="9"/>
        <color rgb="FF767676"/>
        <rFont val="Meiryo"/>
        <family val="0"/>
        <charset val="1"/>
      </rPr>
      <t xml:space="preserve">593</t>
    </r>
    <r>
      <rPr>
        <sz val="9"/>
        <color rgb="FF767676"/>
        <rFont val="WenQuanYi Zen Hei"/>
        <family val="2"/>
      </rPr>
      <t xml:space="preserve">件の実測成約率（成約件数 </t>
    </r>
    <r>
      <rPr>
        <sz val="9"/>
        <color rgb="FF767676"/>
        <rFont val="Meiryo"/>
        <family val="0"/>
        <charset val="1"/>
      </rPr>
      <t xml:space="preserve">÷ </t>
    </r>
    <r>
      <rPr>
        <sz val="9"/>
        <color rgb="FF767676"/>
        <rFont val="WenQuanYi Zen Hei"/>
        <family val="2"/>
      </rPr>
      <t xml:space="preserve">総商談件数）</t>
    </r>
  </si>
  <si>
    <r>
      <rPr>
        <b val="true"/>
        <sz val="10"/>
        <rFont val="Meiryo"/>
        <family val="0"/>
        <charset val="1"/>
      </rPr>
      <t xml:space="preserve">CD</t>
    </r>
    <r>
      <rPr>
        <b val="true"/>
        <sz val="10"/>
        <rFont val="WenQuanYi Zen Hei"/>
        <family val="2"/>
      </rPr>
      <t xml:space="preserve">玉 金額未入力 件数</t>
    </r>
  </si>
  <si>
    <r>
      <rPr>
        <sz val="9"/>
        <color rgb="FF767676"/>
        <rFont val="WenQuanYi Zen Hei"/>
        <family val="2"/>
      </rPr>
      <t xml:space="preserve">※ 下期</t>
    </r>
    <r>
      <rPr>
        <sz val="9"/>
        <color rgb="FF767676"/>
        <rFont val="Meiryo"/>
        <family val="0"/>
        <charset val="1"/>
      </rPr>
      <t xml:space="preserve">CD</t>
    </r>
    <r>
      <rPr>
        <sz val="9"/>
        <color rgb="FF767676"/>
        <rFont val="WenQuanYi Zen Hei"/>
        <family val="2"/>
      </rPr>
      <t xml:space="preserve">玉</t>
    </r>
    <r>
      <rPr>
        <sz val="9"/>
        <color rgb="FF767676"/>
        <rFont val="Meiryo"/>
        <family val="0"/>
        <charset val="1"/>
      </rPr>
      <t xml:space="preserve">113</t>
    </r>
    <r>
      <rPr>
        <sz val="9"/>
        <color rgb="FF767676"/>
        <rFont val="WenQuanYi Zen Hei"/>
        <family val="2"/>
      </rPr>
      <t xml:space="preserve">件のうち金額が空欄のもの</t>
    </r>
  </si>
  <si>
    <r>
      <rPr>
        <b val="true"/>
        <sz val="10"/>
        <rFont val="WenQuanYi Zen Hei"/>
        <family val="2"/>
      </rPr>
      <t xml:space="preserve">入力済</t>
    </r>
    <r>
      <rPr>
        <b val="true"/>
        <sz val="10"/>
        <rFont val="Meiryo"/>
        <family val="0"/>
        <charset val="1"/>
      </rPr>
      <t xml:space="preserve">CD</t>
    </r>
    <r>
      <rPr>
        <b val="true"/>
        <sz val="10"/>
        <rFont val="WenQuanYi Zen Hei"/>
        <family val="2"/>
      </rPr>
      <t xml:space="preserve">玉の中央値（千円）</t>
    </r>
  </si>
  <si>
    <r>
      <rPr>
        <sz val="9"/>
        <color rgb="FF767676"/>
        <rFont val="WenQuanYi Zen Hei"/>
        <family val="2"/>
      </rPr>
      <t xml:space="preserve">※ 金額が入っている</t>
    </r>
    <r>
      <rPr>
        <sz val="9"/>
        <color rgb="FF767676"/>
        <rFont val="Meiryo"/>
        <family val="0"/>
        <charset val="1"/>
      </rPr>
      <t xml:space="preserve">79</t>
    </r>
    <r>
      <rPr>
        <sz val="9"/>
        <color rgb="FF767676"/>
        <rFont val="WenQuanYi Zen Hei"/>
        <family val="2"/>
      </rPr>
      <t xml:space="preserve">件の中央値</t>
    </r>
  </si>
  <si>
    <r>
      <rPr>
        <b val="true"/>
        <sz val="10"/>
        <rFont val="WenQuanYi Zen Hei"/>
        <family val="2"/>
      </rPr>
      <t xml:space="preserve">入力済</t>
    </r>
    <r>
      <rPr>
        <b val="true"/>
        <sz val="10"/>
        <rFont val="Meiryo"/>
        <family val="0"/>
        <charset val="1"/>
      </rPr>
      <t xml:space="preserve">CD</t>
    </r>
    <r>
      <rPr>
        <b val="true"/>
        <sz val="10"/>
        <rFont val="WenQuanYi Zen Hei"/>
        <family val="2"/>
      </rPr>
      <t xml:space="preserve">玉の平均（千円）</t>
    </r>
  </si>
  <si>
    <r>
      <rPr>
        <sz val="9"/>
        <color rgb="FF767676"/>
        <rFont val="WenQuanYi Zen Hei"/>
        <family val="2"/>
      </rPr>
      <t xml:space="preserve">※ 金額が入っている</t>
    </r>
    <r>
      <rPr>
        <sz val="9"/>
        <color rgb="FF767676"/>
        <rFont val="Meiryo"/>
        <family val="0"/>
        <charset val="1"/>
      </rPr>
      <t xml:space="preserve">79</t>
    </r>
    <r>
      <rPr>
        <sz val="9"/>
        <color rgb="FF767676"/>
        <rFont val="WenQuanYi Zen Hei"/>
        <family val="2"/>
      </rPr>
      <t xml:space="preserve">件の平均</t>
    </r>
  </si>
  <si>
    <t xml:space="preserve">月予算（千円）</t>
  </si>
  <si>
    <r>
      <rPr>
        <sz val="9"/>
        <color rgb="FF767676"/>
        <rFont val="WenQuanYi Zen Hei"/>
        <family val="2"/>
      </rPr>
      <t xml:space="preserve">＝ 下期予算 </t>
    </r>
    <r>
      <rPr>
        <sz val="9"/>
        <color rgb="FF767676"/>
        <rFont val="Meiryo"/>
        <family val="0"/>
        <charset val="1"/>
      </rPr>
      <t xml:space="preserve">÷ </t>
    </r>
    <r>
      <rPr>
        <sz val="9"/>
        <color rgb="FF767676"/>
        <rFont val="WenQuanYi Zen Hei"/>
        <family val="2"/>
      </rPr>
      <t xml:space="preserve">月数（均等割）。実際の月次配分があれば月次シートで直接上書きしてください</t>
    </r>
  </si>
  <si>
    <t xml:space="preserve">■ 凡例</t>
  </si>
  <si>
    <t xml:space="preserve">青字</t>
  </si>
  <si>
    <r>
      <rPr>
        <sz val="9"/>
        <color rgb="FF767676"/>
        <rFont val="WenQuanYi Zen Hei"/>
        <family val="2"/>
      </rPr>
      <t xml:space="preserve">手入力。</t>
    </r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レポートから転記する数字</t>
    </r>
  </si>
  <si>
    <t xml:space="preserve">黒字</t>
  </si>
  <si>
    <t xml:space="preserve">数式。触らない</t>
  </si>
  <si>
    <t xml:space="preserve">黄色塗り</t>
  </si>
  <si>
    <t xml:space="preserve">重要な前提。変わると全体が動く</t>
  </si>
  <si>
    <r>
      <rPr>
        <b val="true"/>
        <sz val="13"/>
        <color rgb="FF2C5F2D"/>
        <rFont val="WenQuanYi Zen Hei"/>
        <family val="2"/>
      </rPr>
      <t xml:space="preserve">月次（下期</t>
    </r>
    <r>
      <rPr>
        <b val="true"/>
        <sz val="13"/>
        <color rgb="FF2C5F2D"/>
        <rFont val="Meiryo"/>
        <family val="0"/>
        <charset val="1"/>
      </rPr>
      <t xml:space="preserve">6</t>
    </r>
    <r>
      <rPr>
        <b val="true"/>
        <sz val="13"/>
        <color rgb="FF2C5F2D"/>
        <rFont val="WenQuanYi Zen Hei"/>
        <family val="2"/>
      </rPr>
      <t xml:space="preserve">ヶ月）　単位：千円</t>
    </r>
  </si>
  <si>
    <r>
      <rPr>
        <sz val="9"/>
        <color rgb="FF767676"/>
        <rFont val="WenQuanYi Zen Hei"/>
        <family val="2"/>
      </rPr>
      <t xml:space="preserve">青字のみ手入力。</t>
    </r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の完了予定月・確度・フェーズで集計した値を入れてください。</t>
    </r>
  </si>
  <si>
    <t xml:space="preserve">項目</t>
  </si>
  <si>
    <r>
      <rPr>
        <b val="true"/>
        <sz val="10"/>
        <color rgb="FFFFFFFF"/>
        <rFont val="Meiryo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</si>
  <si>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</si>
  <si>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</si>
  <si>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</si>
  <si>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</si>
  <si>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月</t>
    </r>
  </si>
  <si>
    <t xml:space="preserve">下期合計</t>
  </si>
  <si>
    <t xml:space="preserve">商談件数</t>
  </si>
  <si>
    <t xml:space="preserve">月予算</t>
  </si>
  <si>
    <r>
      <rPr>
        <sz val="10"/>
        <rFont val="WenQuanYi Zen Hei"/>
        <family val="2"/>
      </rPr>
      <t xml:space="preserve">① 受注済（フェーズ</t>
    </r>
    <r>
      <rPr>
        <sz val="10"/>
        <rFont val="Meiryo"/>
        <family val="0"/>
        <charset val="1"/>
      </rPr>
      <t xml:space="preserve">07.</t>
    </r>
    <r>
      <rPr>
        <sz val="10"/>
        <rFont val="WenQuanYi Zen Hei"/>
        <family val="2"/>
      </rPr>
      <t xml:space="preserve">成約）</t>
    </r>
  </si>
  <si>
    <r>
      <rPr>
        <sz val="10"/>
        <rFont val="Meiryo"/>
        <family val="0"/>
        <charset val="1"/>
      </rPr>
      <t xml:space="preserve">② AB</t>
    </r>
    <r>
      <rPr>
        <sz val="10"/>
        <rFont val="WenQuanYi Zen Hei"/>
        <family val="2"/>
      </rPr>
      <t xml:space="preserve">玉（確度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／未成約）</t>
    </r>
  </si>
  <si>
    <r>
      <rPr>
        <b val="true"/>
        <sz val="10"/>
        <rFont val="Meiryo"/>
        <family val="0"/>
        <charset val="1"/>
      </rPr>
      <t xml:space="preserve">AB</t>
    </r>
    <r>
      <rPr>
        <b val="true"/>
        <sz val="10"/>
        <rFont val="WenQuanYi Zen Hei"/>
        <family val="2"/>
      </rPr>
      <t xml:space="preserve">玉ベース着地見込み（①＋②）</t>
    </r>
  </si>
  <si>
    <t xml:space="preserve">月予算に対する達成率</t>
  </si>
  <si>
    <t xml:space="preserve">残り必要額（月予算 −①−②）</t>
  </si>
  <si>
    <r>
      <rPr>
        <sz val="10"/>
        <rFont val="Meiryo"/>
        <family val="0"/>
        <charset val="1"/>
      </rPr>
      <t xml:space="preserve">③ CD</t>
    </r>
    <r>
      <rPr>
        <sz val="10"/>
        <rFont val="WenQuanYi Zen Hei"/>
        <family val="2"/>
      </rPr>
      <t xml:space="preserve">玉（確度</t>
    </r>
    <r>
      <rPr>
        <sz val="10"/>
        <rFont val="Meiryo"/>
        <family val="0"/>
        <charset val="1"/>
      </rPr>
      <t xml:space="preserve">C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D</t>
    </r>
    <r>
      <rPr>
        <sz val="10"/>
        <rFont val="WenQuanYi Zen Hei"/>
        <family val="2"/>
      </rPr>
      <t xml:space="preserve">／未成約）</t>
    </r>
  </si>
  <si>
    <r>
      <rPr>
        <b val="true"/>
        <sz val="10"/>
        <rFont val="WenQuanYi Zen Hei"/>
        <family val="2"/>
      </rPr>
      <t xml:space="preserve">必要転換率（残り必要額 </t>
    </r>
    <r>
      <rPr>
        <b val="true"/>
        <sz val="10"/>
        <rFont val="Meiryo"/>
        <family val="0"/>
        <charset val="1"/>
      </rPr>
      <t xml:space="preserve">÷ CD</t>
    </r>
    <r>
      <rPr>
        <b val="true"/>
        <sz val="10"/>
        <rFont val="WenQuanYi Zen Hei"/>
        <family val="2"/>
      </rPr>
      <t xml:space="preserve">玉）</t>
    </r>
  </si>
  <si>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玉からの転換（想定転換率）</t>
    </r>
  </si>
  <si>
    <t xml:space="preserve">最終着地見込み（①＋②＋転換）</t>
  </si>
  <si>
    <t xml:space="preserve">最終着地率</t>
  </si>
  <si>
    <t xml:space="preserve">月予算に対する過不足</t>
  </si>
  <si>
    <t xml:space="preserve">（参考）金額未入力 件数</t>
  </si>
  <si>
    <t xml:space="preserve">（参考）長期玉</t>
  </si>
  <si>
    <r>
      <rPr>
        <sz val="9"/>
        <color rgb="FF767676"/>
        <rFont val="WenQuanYi Zen Hei"/>
        <family val="2"/>
      </rPr>
      <t xml:space="preserve">※ 必要転換率が</t>
    </r>
    <r>
      <rPr>
        <sz val="9"/>
        <color rgb="FF767676"/>
        <rFont val="Meiryo"/>
        <family val="0"/>
        <charset val="1"/>
      </rPr>
      <t xml:space="preserve">100%</t>
    </r>
    <r>
      <rPr>
        <sz val="9"/>
        <color rgb="FF767676"/>
        <rFont val="WenQuanYi Zen Hei"/>
        <family val="2"/>
      </rPr>
      <t xml:space="preserve">を超える月は、いまある玉では月予算に届かないことを意味します。</t>
    </r>
  </si>
  <si>
    <r>
      <rPr>
        <sz val="9"/>
        <color rgb="FF767676"/>
        <rFont val="WenQuanYi Zen Hei"/>
        <family val="2"/>
      </rPr>
      <t xml:space="preserve">※ 長期玉は</t>
    </r>
    <r>
      <rPr>
        <sz val="9"/>
        <color rgb="FF767676"/>
        <rFont val="Meiryo"/>
        <family val="0"/>
        <charset val="1"/>
      </rPr>
      <t xml:space="preserve">CD</t>
    </r>
    <r>
      <rPr>
        <sz val="9"/>
        <color rgb="FF767676"/>
        <rFont val="WenQuanYi Zen Hei"/>
        <family val="2"/>
      </rPr>
      <t xml:space="preserve">玉に含めていません。</t>
    </r>
  </si>
  <si>
    <r>
      <rPr>
        <b val="true"/>
        <sz val="13"/>
        <color rgb="FF2C5F2D"/>
        <rFont val="Meiryo"/>
        <family val="0"/>
        <charset val="1"/>
      </rPr>
      <t xml:space="preserve">9</t>
    </r>
    <r>
      <rPr>
        <b val="true"/>
        <sz val="13"/>
        <color rgb="FF2C5F2D"/>
        <rFont val="WenQuanYi Zen Hei"/>
        <family val="2"/>
      </rPr>
      <t xml:space="preserve">月の増減（</t>
    </r>
    <r>
      <rPr>
        <b val="true"/>
        <sz val="13"/>
        <color rgb="FF2C5F2D"/>
        <rFont val="Meiryo"/>
        <family val="0"/>
        <charset val="1"/>
      </rPr>
      <t xml:space="preserve">2026/09/01 → 09/28</t>
    </r>
    <r>
      <rPr>
        <b val="true"/>
        <sz val="13"/>
        <color rgb="FF2C5F2D"/>
        <rFont val="WenQuanYi Zen Hei"/>
        <family val="2"/>
      </rPr>
      <t xml:space="preserve">）　単位：千円</t>
    </r>
  </si>
  <si>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の商談変更履歴</t>
    </r>
    <r>
      <rPr>
        <sz val="9"/>
        <color rgb="FF767676"/>
        <rFont val="Meiryo"/>
        <family val="0"/>
        <charset val="1"/>
      </rPr>
      <t xml:space="preserve">405</t>
    </r>
    <r>
      <rPr>
        <sz val="9"/>
        <color rgb="FF767676"/>
        <rFont val="WenQuanYi Zen Hei"/>
        <family val="2"/>
      </rPr>
      <t xml:space="preserve">件を再生して復元。</t>
    </r>
    <r>
      <rPr>
        <sz val="9"/>
        <color rgb="FF767676"/>
        <rFont val="Meiryo"/>
        <family val="0"/>
        <charset val="1"/>
      </rPr>
      <t xml:space="preserve">9/29</t>
    </r>
    <r>
      <rPr>
        <sz val="9"/>
        <color rgb="FF767676"/>
        <rFont val="WenQuanYi Zen Hei"/>
        <family val="2"/>
      </rPr>
      <t xml:space="preserve">・</t>
    </r>
    <r>
      <rPr>
        <sz val="9"/>
        <color rgb="FF767676"/>
        <rFont val="Meiryo"/>
        <family val="0"/>
        <charset val="1"/>
      </rPr>
      <t xml:space="preserve">9/30</t>
    </r>
    <r>
      <rPr>
        <sz val="9"/>
        <color rgb="FF767676"/>
        <rFont val="WenQuanYi Zen Hei"/>
        <family val="2"/>
      </rPr>
      <t xml:space="preserve">の動きは含まれていません。</t>
    </r>
  </si>
  <si>
    <t xml:space="preserve">■ グループ別</t>
  </si>
  <si>
    <t xml:space="preserve">グループ</t>
  </si>
  <si>
    <r>
      <rPr>
        <b val="true"/>
        <sz val="10"/>
        <color rgb="FFFFFFFF"/>
        <rFont val="Meiryo"/>
        <family val="0"/>
        <charset val="1"/>
      </rPr>
      <t xml:space="preserve">AB</t>
    </r>
    <r>
      <rPr>
        <b val="true"/>
        <sz val="10"/>
        <color rgb="FFFFFFFF"/>
        <rFont val="WenQuanYi Zen Hei"/>
        <family val="2"/>
      </rPr>
      <t xml:space="preserve">総玉 増減</t>
    </r>
  </si>
  <si>
    <t xml:space="preserve">総玉 増減</t>
  </si>
  <si>
    <t xml:space="preserve">メモ</t>
  </si>
  <si>
    <r>
      <rPr>
        <sz val="10"/>
        <rFont val="WenQuanYi Zen Hei"/>
        <family val="2"/>
      </rPr>
      <t xml:space="preserve">コーデ</t>
    </r>
    <r>
      <rPr>
        <sz val="10"/>
        <rFont val="Meiryo"/>
        <family val="0"/>
        <charset val="1"/>
      </rPr>
      <t xml:space="preserve">+TREEBATON</t>
    </r>
  </si>
  <si>
    <r>
      <rPr>
        <sz val="10"/>
        <rFont val="WenQuanYi Zen Hei"/>
        <family val="2"/>
      </rPr>
      <t xml:space="preserve">確度</t>
    </r>
    <r>
      <rPr>
        <sz val="10"/>
        <rFont val="Meiryo"/>
        <family val="0"/>
        <charset val="1"/>
      </rPr>
      <t xml:space="preserve">UP2</t>
    </r>
    <r>
      <rPr>
        <sz val="10"/>
        <rFont val="WenQuanYi Zen Hei"/>
        <family val="2"/>
      </rPr>
      <t xml:space="preserve">件で</t>
    </r>
    <r>
      <rPr>
        <sz val="10"/>
        <rFont val="Meiryo"/>
        <family val="0"/>
        <charset val="1"/>
      </rPr>
      <t xml:space="preserve">+10,616</t>
    </r>
  </si>
  <si>
    <t xml:space="preserve">枠材製作モックアップの新規のみ</t>
  </si>
  <si>
    <t xml:space="preserve">OEM</t>
  </si>
  <si>
    <r>
      <rPr>
        <sz val="10"/>
        <rFont val="WenQuanYi Zen Hei"/>
        <family val="2"/>
      </rPr>
      <t xml:space="preserve">アースボートは確度</t>
    </r>
    <r>
      <rPr>
        <sz val="10"/>
        <rFont val="Meiryo"/>
        <family val="0"/>
        <charset val="1"/>
      </rPr>
      <t xml:space="preserve">D</t>
    </r>
    <r>
      <rPr>
        <sz val="10"/>
        <rFont val="WenQuanYi Zen Hei"/>
        <family val="2"/>
      </rPr>
      <t xml:space="preserve">のまま金額だけ増加</t>
    </r>
  </si>
  <si>
    <r>
      <rPr>
        <sz val="10"/>
        <rFont val="Meiryo"/>
        <family val="0"/>
        <charset val="1"/>
      </rPr>
      <t xml:space="preserve">FM_</t>
    </r>
    <r>
      <rPr>
        <sz val="10"/>
        <rFont val="WenQuanYi Zen Hei"/>
        <family val="2"/>
      </rPr>
      <t xml:space="preserve">フルサポートが来期へ期ズレ</t>
    </r>
  </si>
  <si>
    <t xml:space="preserve">全社合計</t>
  </si>
  <si>
    <r>
      <rPr>
        <b val="true"/>
        <sz val="10"/>
        <rFont val="WenQuanYi Zen Hei"/>
        <family val="2"/>
      </rPr>
      <t xml:space="preserve">■ 理由カテゴリ別（</t>
    </r>
    <r>
      <rPr>
        <b val="true"/>
        <sz val="10"/>
        <rFont val="Meiryo"/>
        <family val="0"/>
        <charset val="1"/>
      </rPr>
      <t xml:space="preserve">AB</t>
    </r>
    <r>
      <rPr>
        <b val="true"/>
        <sz val="10"/>
        <rFont val="WenQuanYi Zen Hei"/>
        <family val="2"/>
      </rPr>
      <t xml:space="preserve">総玉への影響）</t>
    </r>
  </si>
  <si>
    <t xml:space="preserve">カテゴリ</t>
  </si>
  <si>
    <t xml:space="preserve">件数</t>
  </si>
  <si>
    <r>
      <rPr>
        <sz val="10"/>
        <rFont val="WenQuanYi Zen Hei"/>
        <family val="2"/>
      </rPr>
      <t xml:space="preserve">確度</t>
    </r>
    <r>
      <rPr>
        <sz val="10"/>
        <rFont val="Meiryo"/>
        <family val="0"/>
        <charset val="1"/>
      </rPr>
      <t xml:space="preserve">UP</t>
    </r>
  </si>
  <si>
    <r>
      <rPr>
        <sz val="10"/>
        <rFont val="WenQuanYi Zen Hei"/>
        <family val="2"/>
      </rPr>
      <t xml:space="preserve">うち認証桧柾目材供給</t>
    </r>
    <r>
      <rPr>
        <sz val="10"/>
        <rFont val="Meiryo"/>
        <family val="0"/>
        <charset val="1"/>
      </rPr>
      <t xml:space="preserve">PJ 2</t>
    </r>
    <r>
      <rPr>
        <sz val="10"/>
        <rFont val="WenQuanYi Zen Hei"/>
        <family val="2"/>
      </rPr>
      <t xml:space="preserve">件で</t>
    </r>
    <r>
      <rPr>
        <sz val="10"/>
        <rFont val="Meiryo"/>
        <family val="0"/>
        <charset val="1"/>
      </rPr>
      <t xml:space="preserve">10,616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89%</t>
    </r>
    <r>
      <rPr>
        <sz val="10"/>
        <rFont val="WenQuanYi Zen Hei"/>
        <family val="2"/>
      </rPr>
      <t xml:space="preserve">）</t>
    </r>
  </si>
  <si>
    <t xml:space="preserve">新規作成</t>
  </si>
  <si>
    <r>
      <rPr>
        <sz val="10"/>
        <rFont val="WenQuanYi Zen Hei"/>
        <family val="2"/>
      </rPr>
      <t xml:space="preserve">新規</t>
    </r>
    <r>
      <rPr>
        <sz val="10"/>
        <rFont val="Meiryo"/>
        <family val="0"/>
        <charset val="1"/>
      </rPr>
      <t xml:space="preserve">38</t>
    </r>
    <r>
      <rPr>
        <sz val="10"/>
        <rFont val="WenQuanYi Zen Hei"/>
        <family val="2"/>
      </rPr>
      <t xml:space="preserve">件のうち</t>
    </r>
    <r>
      <rPr>
        <sz val="10"/>
        <rFont val="Meiryo"/>
        <family val="0"/>
        <charset val="1"/>
      </rPr>
      <t xml:space="preserve">AB</t>
    </r>
    <r>
      <rPr>
        <sz val="10"/>
        <rFont val="WenQuanYi Zen Hei"/>
        <family val="2"/>
      </rPr>
      <t xml:space="preserve">玉に乗ったのは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件だけ</t>
    </r>
  </si>
  <si>
    <t xml:space="preserve">失注から復活</t>
  </si>
  <si>
    <r>
      <rPr>
        <sz val="10"/>
        <rFont val="WenQuanYi Zen Hei"/>
        <family val="2"/>
      </rPr>
      <t xml:space="preserve">習志野カントリークラブ</t>
    </r>
    <r>
      <rPr>
        <sz val="10"/>
        <rFont val="Meiryo"/>
        <family val="0"/>
        <charset val="1"/>
      </rPr>
      <t xml:space="preserve">_VIP</t>
    </r>
    <r>
      <rPr>
        <sz val="10"/>
        <rFont val="WenQuanYi Zen Hei"/>
        <family val="2"/>
      </rPr>
      <t xml:space="preserve">ルーム黒柿</t>
    </r>
  </si>
  <si>
    <t xml:space="preserve">増額</t>
  </si>
  <si>
    <r>
      <rPr>
        <sz val="10"/>
        <rFont val="WenQuanYi Zen Hei"/>
        <family val="2"/>
      </rPr>
      <t xml:space="preserve">新潟県新潟市石山</t>
    </r>
    <r>
      <rPr>
        <sz val="10"/>
        <rFont val="Meiryo"/>
        <family val="0"/>
        <charset val="1"/>
      </rPr>
      <t xml:space="preserve">PJ</t>
    </r>
  </si>
  <si>
    <t xml:space="preserve">減額</t>
  </si>
  <si>
    <t xml:space="preserve">期ズレ（来期へ）</t>
  </si>
  <si>
    <r>
      <rPr>
        <sz val="10"/>
        <rFont val="Meiryo"/>
        <family val="0"/>
        <charset val="1"/>
      </rPr>
      <t xml:space="preserve">FM_</t>
    </r>
    <r>
      <rPr>
        <sz val="10"/>
        <rFont val="WenQuanYi Zen Hei"/>
        <family val="2"/>
      </rPr>
      <t xml:space="preserve">フルサポート</t>
    </r>
    <r>
      <rPr>
        <sz val="10"/>
        <rFont val="Meiryo"/>
        <family val="0"/>
        <charset val="1"/>
      </rPr>
      <t xml:space="preserve">_SLIMF</t>
    </r>
  </si>
  <si>
    <t xml:space="preserve">合計</t>
  </si>
  <si>
    <t xml:space="preserve">金額</t>
  </si>
  <si>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月の成約</t>
    </r>
  </si>
  <si>
    <r>
      <rPr>
        <sz val="10"/>
        <rFont val="WenQuanYi Zen Hei"/>
        <family val="2"/>
      </rPr>
      <t xml:space="preserve">千本松牧場</t>
    </r>
    <r>
      <rPr>
        <sz val="10"/>
        <rFont val="Meiryo"/>
        <family val="0"/>
        <charset val="1"/>
      </rPr>
      <t xml:space="preserve">PJ</t>
    </r>
    <r>
      <rPr>
        <sz val="10"/>
        <rFont val="WenQuanYi Zen Hei"/>
        <family val="2"/>
      </rPr>
      <t xml:space="preserve">関連</t>
    </r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件で</t>
    </r>
    <r>
      <rPr>
        <sz val="10"/>
        <rFont val="Meiryo"/>
        <family val="0"/>
        <charset val="1"/>
      </rPr>
      <t xml:space="preserve">9,334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54%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</si>
  <si>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月の新規作成</t>
    </r>
  </si>
  <si>
    <r>
      <rPr>
        <sz val="10"/>
        <rFont val="WenQuanYi Zen Hei"/>
        <family val="2"/>
      </rPr>
      <t xml:space="preserve">うち</t>
    </r>
    <r>
      <rPr>
        <sz val="10"/>
        <rFont val="Meiryo"/>
        <family val="0"/>
        <charset val="1"/>
      </rPr>
      <t xml:space="preserve">18</t>
    </r>
    <r>
      <rPr>
        <sz val="10"/>
        <rFont val="WenQuanYi Zen Hei"/>
        <family val="2"/>
      </rPr>
      <t xml:space="preserve">件が金額未入力</t>
    </r>
  </si>
  <si>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月の失注</t>
    </r>
  </si>
  <si>
    <r>
      <rPr>
        <sz val="10"/>
        <rFont val="WenQuanYi Zen Hei"/>
        <family val="2"/>
      </rPr>
      <t xml:space="preserve">すべて確度</t>
    </r>
    <r>
      <rPr>
        <sz val="10"/>
        <rFont val="Meiryo"/>
        <family val="0"/>
        <charset val="1"/>
      </rPr>
      <t xml:space="preserve">C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D</t>
    </r>
    <r>
      <rPr>
        <sz val="10"/>
        <rFont val="WenQuanYi Zen Hei"/>
        <family val="2"/>
      </rPr>
      <t xml:space="preserve">。</t>
    </r>
    <r>
      <rPr>
        <sz val="10"/>
        <rFont val="Meiryo"/>
        <family val="0"/>
        <charset val="1"/>
      </rPr>
      <t xml:space="preserve">AB</t>
    </r>
    <r>
      <rPr>
        <sz val="10"/>
        <rFont val="WenQuanYi Zen Hei"/>
        <family val="2"/>
      </rPr>
      <t xml:space="preserve">総玉への影響なし</t>
    </r>
  </si>
  <si>
    <r>
      <rPr>
        <b val="true"/>
        <sz val="10"/>
        <rFont val="WenQuanYi Zen Hei"/>
        <family val="2"/>
      </rPr>
      <t xml:space="preserve">■ 案件別の明細（</t>
    </r>
    <r>
      <rPr>
        <b val="true"/>
        <sz val="10"/>
        <rFont val="Meiryo"/>
        <family val="0"/>
        <charset val="1"/>
      </rPr>
      <t xml:space="preserve">AB</t>
    </r>
    <r>
      <rPr>
        <b val="true"/>
        <sz val="10"/>
        <rFont val="WenQuanYi Zen Hei"/>
        <family val="2"/>
      </rPr>
      <t xml:space="preserve">総玉が動いたもの）</t>
    </r>
  </si>
  <si>
    <t xml:space="preserve">商談名</t>
  </si>
  <si>
    <t xml:space="preserve">理由</t>
  </si>
  <si>
    <r>
      <rPr>
        <sz val="10"/>
        <rFont val="WenQuanYi Zen Hei"/>
        <family val="2"/>
      </rPr>
      <t xml:space="preserve">子商談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認証桧柾目材供給</t>
    </r>
    <r>
      <rPr>
        <sz val="10"/>
        <rFont val="Meiryo"/>
        <family val="0"/>
        <charset val="1"/>
      </rPr>
      <t xml:space="preserve">PJ_3</t>
    </r>
    <r>
      <rPr>
        <sz val="10"/>
        <rFont val="WenQuanYi Zen Hei"/>
        <family val="2"/>
      </rPr>
      <t xml:space="preserve">回目</t>
    </r>
    <r>
      <rPr>
        <sz val="10"/>
        <rFont val="Meiryo"/>
        <family val="0"/>
        <charset val="1"/>
      </rPr>
      <t xml:space="preserve">(FSC</t>
    </r>
    <r>
      <rPr>
        <sz val="10"/>
        <rFont val="WenQuanYi Zen Hei"/>
        <family val="2"/>
      </rPr>
      <t xml:space="preserve">尾鷲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</si>
  <si>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確度</t>
    </r>
    <r>
      <rPr>
        <sz val="10"/>
        <rFont val="Meiryo"/>
        <family val="0"/>
        <charset val="1"/>
      </rPr>
      <t xml:space="preserve">UP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C→B</t>
    </r>
    <r>
      <rPr>
        <sz val="10"/>
        <rFont val="WenQuanYi Zen Hei"/>
        <family val="2"/>
      </rPr>
      <t xml:space="preserve">）／増額</t>
    </r>
  </si>
  <si>
    <r>
      <rPr>
        <sz val="10"/>
        <rFont val="WenQuanYi Zen Hei"/>
        <family val="2"/>
      </rPr>
      <t xml:space="preserve">子商談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認証桧柾目材供給</t>
    </r>
    <r>
      <rPr>
        <sz val="10"/>
        <rFont val="Meiryo"/>
        <family val="0"/>
        <charset val="1"/>
      </rPr>
      <t xml:space="preserve">PJ_2</t>
    </r>
    <r>
      <rPr>
        <sz val="10"/>
        <rFont val="WenQuanYi Zen Hei"/>
        <family val="2"/>
      </rPr>
      <t xml:space="preserve">回目</t>
    </r>
    <r>
      <rPr>
        <sz val="10"/>
        <rFont val="Meiryo"/>
        <family val="0"/>
        <charset val="1"/>
      </rPr>
      <t xml:space="preserve">(SGEC</t>
    </r>
    <r>
      <rPr>
        <sz val="10"/>
        <rFont val="WenQuanYi Zen Hei"/>
        <family val="2"/>
      </rPr>
      <t xml:space="preserve">富士市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</si>
  <si>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確度</t>
    </r>
    <r>
      <rPr>
        <sz val="10"/>
        <rFont val="Meiryo"/>
        <family val="0"/>
        <charset val="1"/>
      </rPr>
      <t xml:space="preserve">UP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C→A</t>
    </r>
    <r>
      <rPr>
        <sz val="10"/>
        <rFont val="WenQuanYi Zen Hei"/>
        <family val="2"/>
      </rPr>
      <t xml:space="preserve">）／減額</t>
    </r>
  </si>
  <si>
    <r>
      <rPr>
        <sz val="10"/>
        <rFont val="Meiryo"/>
        <family val="0"/>
        <charset val="1"/>
      </rPr>
      <t xml:space="preserve">ERIKOYAMAGUCHI_</t>
    </r>
    <r>
      <rPr>
        <sz val="10"/>
        <rFont val="WenQuanYi Zen Hei"/>
        <family val="2"/>
      </rPr>
      <t xml:space="preserve">名古屋</t>
    </r>
  </si>
  <si>
    <t xml:space="preserve">新規</t>
  </si>
  <si>
    <r>
      <rPr>
        <sz val="10"/>
        <rFont val="WenQuanYi Zen Hei"/>
        <family val="2"/>
      </rPr>
      <t xml:space="preserve">御殿場</t>
    </r>
    <r>
      <rPr>
        <sz val="10"/>
        <rFont val="Meiryo"/>
        <family val="0"/>
        <charset val="1"/>
      </rPr>
      <t xml:space="preserve">KEEN</t>
    </r>
    <r>
      <rPr>
        <sz val="10"/>
        <rFont val="WenQuanYi Zen Hei"/>
        <family val="2"/>
      </rPr>
      <t xml:space="preserve">店舗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カウンター用静岡県産半割丸太</t>
    </r>
  </si>
  <si>
    <r>
      <rPr>
        <sz val="10"/>
        <rFont val="WenQuanYi Zen Hei"/>
        <family val="2"/>
      </rPr>
      <t xml:space="preserve">確度</t>
    </r>
    <r>
      <rPr>
        <sz val="10"/>
        <rFont val="Meiryo"/>
        <family val="0"/>
        <charset val="1"/>
      </rPr>
      <t xml:space="preserve">UP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C→B</t>
    </r>
    <r>
      <rPr>
        <sz val="10"/>
        <rFont val="WenQuanYi Zen Hei"/>
        <family val="2"/>
      </rPr>
      <t xml:space="preserve">）</t>
    </r>
  </si>
  <si>
    <t xml:space="preserve">枠材製作（材工）モックアップ製作</t>
  </si>
  <si>
    <r>
      <rPr>
        <sz val="10"/>
        <rFont val="Meiryo"/>
        <family val="0"/>
        <charset val="1"/>
      </rPr>
      <t xml:space="preserve">TRE</t>
    </r>
    <r>
      <rPr>
        <sz val="10"/>
        <rFont val="WenQuanYi Zen Hei"/>
        <family val="2"/>
      </rPr>
      <t xml:space="preserve">ホールディングス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丸太輪切り材</t>
    </r>
  </si>
  <si>
    <r>
      <rPr>
        <sz val="10"/>
        <rFont val="WenQuanYi Zen Hei"/>
        <family val="2"/>
      </rPr>
      <t xml:space="preserve">確度</t>
    </r>
    <r>
      <rPr>
        <sz val="10"/>
        <rFont val="Meiryo"/>
        <family val="0"/>
        <charset val="1"/>
      </rPr>
      <t xml:space="preserve">UP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C→A</t>
    </r>
    <r>
      <rPr>
        <sz val="10"/>
        <rFont val="WenQuanYi Zen Hei"/>
        <family val="2"/>
      </rPr>
      <t xml:space="preserve">）／増額</t>
    </r>
  </si>
  <si>
    <r>
      <rPr>
        <sz val="10"/>
        <rFont val="WenQuanYi Zen Hei"/>
        <family val="2"/>
      </rPr>
      <t xml:space="preserve">失注から復活／確度</t>
    </r>
    <r>
      <rPr>
        <sz val="10"/>
        <rFont val="Meiryo"/>
        <family val="0"/>
        <charset val="1"/>
      </rPr>
      <t xml:space="preserve">UP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D→B</t>
    </r>
    <r>
      <rPr>
        <sz val="10"/>
        <rFont val="WenQuanYi Zen Hei"/>
        <family val="2"/>
      </rPr>
      <t xml:space="preserve">）／減額</t>
    </r>
  </si>
  <si>
    <r>
      <rPr>
        <sz val="10"/>
        <rFont val="WenQuanYi Zen Hei"/>
        <family val="2"/>
      </rPr>
      <t xml:space="preserve">維持審査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加工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紙</t>
    </r>
  </si>
  <si>
    <r>
      <rPr>
        <sz val="10"/>
        <rFont val="WenQuanYi Zen Hei"/>
        <family val="2"/>
      </rPr>
      <t xml:space="preserve">確度</t>
    </r>
    <r>
      <rPr>
        <sz val="10"/>
        <rFont val="Meiryo"/>
        <family val="0"/>
        <charset val="1"/>
      </rPr>
      <t xml:space="preserve">UP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D→B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</si>
  <si>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水戸京成</t>
    </r>
    <r>
      <rPr>
        <sz val="10"/>
        <rFont val="Meiryo"/>
        <family val="0"/>
        <charset val="1"/>
      </rPr>
      <t xml:space="preserve">RLC</t>
    </r>
  </si>
  <si>
    <r>
      <rPr>
        <sz val="10"/>
        <rFont val="WenQuanYi Zen Hei"/>
        <family val="2"/>
      </rPr>
      <t xml:space="preserve">ロイヤル</t>
    </r>
    <r>
      <rPr>
        <sz val="10"/>
        <rFont val="Meiryo"/>
        <family val="0"/>
        <charset val="1"/>
      </rPr>
      <t xml:space="preserve">HD</t>
    </r>
    <r>
      <rPr>
        <sz val="10"/>
        <rFont val="WenQuanYi Zen Hei"/>
        <family val="2"/>
      </rPr>
      <t xml:space="preserve">本社工場直販店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福岡</t>
    </r>
    <r>
      <rPr>
        <sz val="10"/>
        <rFont val="Meiryo"/>
        <family val="0"/>
        <charset val="1"/>
      </rPr>
      <t xml:space="preserve">)_</t>
    </r>
    <r>
      <rPr>
        <sz val="10"/>
        <rFont val="WenQuanYi Zen Hei"/>
        <family val="2"/>
      </rPr>
      <t xml:space="preserve">既存樹活用（引上げ・製材・乾燥）</t>
    </r>
  </si>
  <si>
    <r>
      <rPr>
        <sz val="10"/>
        <rFont val="WenQuanYi Zen Hei"/>
        <family val="2"/>
      </rPr>
      <t xml:space="preserve">内閣府用木札</t>
    </r>
    <r>
      <rPr>
        <sz val="10"/>
        <rFont val="Meiryo"/>
        <family val="0"/>
        <charset val="1"/>
      </rPr>
      <t xml:space="preserve">_2026</t>
    </r>
  </si>
  <si>
    <t xml:space="preserve">外装用焼杉（羽目板）</t>
  </si>
  <si>
    <r>
      <rPr>
        <sz val="10"/>
        <rFont val="WenQuanYi Zen Hei"/>
        <family val="2"/>
      </rPr>
      <t xml:space="preserve">クリ巾ハギ材（小）</t>
    </r>
    <r>
      <rPr>
        <sz val="10"/>
        <rFont val="Meiryo"/>
        <family val="0"/>
        <charset val="1"/>
      </rPr>
      <t xml:space="preserve">_260924</t>
    </r>
    <r>
      <rPr>
        <sz val="10"/>
        <rFont val="WenQuanYi Zen Hei"/>
        <family val="2"/>
      </rPr>
      <t xml:space="preserve">分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発注</t>
    </r>
    <r>
      <rPr>
        <sz val="10"/>
        <rFont val="Meiryo"/>
        <family val="0"/>
        <charset val="1"/>
      </rPr>
      <t xml:space="preserve">No.PD-820</t>
    </r>
  </si>
  <si>
    <r>
      <rPr>
        <sz val="10"/>
        <rFont val="WenQuanYi Zen Hei"/>
        <family val="2"/>
      </rPr>
      <t xml:space="preserve">味の素本社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レストランフロア壁面オブジェ（追加作業）</t>
    </r>
  </si>
  <si>
    <t xml:space="preserve">ウッドチップ</t>
  </si>
  <si>
    <r>
      <rPr>
        <sz val="10"/>
        <rFont val="WenQuanYi Zen Hei"/>
        <family val="2"/>
      </rPr>
      <t xml:space="preserve">太閤向け</t>
    </r>
    <r>
      <rPr>
        <sz val="10"/>
        <rFont val="Meiryo"/>
        <family val="0"/>
        <charset val="1"/>
      </rPr>
      <t xml:space="preserve">FSC</t>
    </r>
    <r>
      <rPr>
        <sz val="10"/>
        <rFont val="WenQuanYi Zen Hei"/>
        <family val="2"/>
      </rPr>
      <t xml:space="preserve">ポプラ</t>
    </r>
    <r>
      <rPr>
        <sz val="10"/>
        <rFont val="Meiryo"/>
        <family val="0"/>
        <charset val="1"/>
      </rPr>
      <t xml:space="preserve">LVL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45x30x4000</t>
    </r>
    <r>
      <rPr>
        <sz val="10"/>
        <rFont val="WenQuanYi Zen Hei"/>
        <family val="2"/>
      </rPr>
      <t xml:space="preserve">）</t>
    </r>
    <r>
      <rPr>
        <sz val="10"/>
        <rFont val="Meiryo"/>
        <family val="0"/>
        <charset val="1"/>
      </rPr>
      <t xml:space="preserve">260917</t>
    </r>
  </si>
  <si>
    <r>
      <rPr>
        <sz val="10"/>
        <rFont val="WenQuanYi Zen Hei"/>
        <family val="2"/>
      </rPr>
      <t xml:space="preserve">日建設計</t>
    </r>
    <r>
      <rPr>
        <sz val="10"/>
        <rFont val="Meiryo"/>
        <family val="0"/>
        <charset val="1"/>
      </rPr>
      <t xml:space="preserve">×</t>
    </r>
    <r>
      <rPr>
        <sz val="10"/>
        <rFont val="WenQuanYi Zen Hei"/>
        <family val="2"/>
      </rPr>
      <t xml:space="preserve">乃村工藝社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間伐材利用某サーキュラー案件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試作用</t>
    </r>
    <r>
      <rPr>
        <sz val="10"/>
        <rFont val="Meiryo"/>
        <family val="0"/>
        <charset val="1"/>
      </rPr>
      <t xml:space="preserve">eco</t>
    </r>
    <r>
      <rPr>
        <sz val="10"/>
        <rFont val="WenQuanYi Zen Hei"/>
        <family val="2"/>
      </rPr>
      <t xml:space="preserve">シラ合板</t>
    </r>
  </si>
  <si>
    <r>
      <rPr>
        <sz val="10"/>
        <rFont val="Meiryo"/>
        <family val="0"/>
        <charset val="1"/>
      </rPr>
      <t xml:space="preserve">J</t>
    </r>
    <r>
      <rPr>
        <sz val="10"/>
        <rFont val="WenQuanYi Zen Hei"/>
        <family val="2"/>
      </rPr>
      <t xml:space="preserve">パネル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枚　扉</t>
    </r>
  </si>
  <si>
    <t xml:space="preserve">藍建材サンプル</t>
  </si>
  <si>
    <r>
      <rPr>
        <sz val="10"/>
        <rFont val="WenQuanYi Zen Hei"/>
        <family val="2"/>
      </rPr>
      <t xml:space="preserve">令和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年度お名前ドットコム　ドメイン費</t>
    </r>
  </si>
  <si>
    <r>
      <rPr>
        <sz val="10"/>
        <rFont val="Meiryo"/>
        <family val="0"/>
        <charset val="1"/>
      </rPr>
      <t xml:space="preserve">26</t>
    </r>
    <r>
      <rPr>
        <sz val="10"/>
        <rFont val="WenQuanYi Zen Hei"/>
        <family val="2"/>
      </rPr>
      <t xml:space="preserve">年度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千本松牧場</t>
    </r>
    <r>
      <rPr>
        <sz val="10"/>
        <rFont val="Meiryo"/>
        <family val="0"/>
        <charset val="1"/>
      </rPr>
      <t xml:space="preserve">PJ_⑤</t>
    </r>
    <r>
      <rPr>
        <sz val="10"/>
        <rFont val="WenQuanYi Zen Hei"/>
        <family val="2"/>
      </rPr>
      <t xml:space="preserve">記念品製造／バードコール＆写真フレーム</t>
    </r>
  </si>
  <si>
    <t xml:space="preserve">算出方法と注意点</t>
  </si>
  <si>
    <t xml:space="preserve">■ データの範囲</t>
  </si>
  <si>
    <t xml:space="preserve">対象</t>
  </si>
  <si>
    <r>
      <rPr>
        <sz val="10"/>
        <rFont val="WenQuanYi Zen Hei"/>
        <family val="2"/>
      </rPr>
      <t xml:space="preserve">商談レコードタイプ＝木材コーディネート＋</t>
    </r>
    <r>
      <rPr>
        <sz val="10"/>
        <rFont val="Meiryo"/>
        <family val="0"/>
        <charset val="1"/>
      </rPr>
      <t xml:space="preserve">TREEBATON</t>
    </r>
  </si>
  <si>
    <t xml:space="preserve">除外</t>
  </si>
  <si>
    <r>
      <rPr>
        <sz val="10"/>
        <rFont val="WenQuanYi Zen Hei"/>
        <family val="2"/>
      </rPr>
      <t xml:space="preserve">フェーズ</t>
    </r>
    <r>
      <rPr>
        <sz val="10"/>
        <rFont val="Meiryo"/>
        <family val="0"/>
        <charset val="1"/>
      </rPr>
      <t xml:space="preserve">00_</t>
    </r>
    <r>
      <rPr>
        <sz val="10"/>
        <rFont val="WenQuanYi Zen Hei"/>
        <family val="2"/>
      </rPr>
      <t xml:space="preserve">失注、テスト商談、＊原価管理用＊</t>
    </r>
  </si>
  <si>
    <t xml:space="preserve">期間</t>
  </si>
  <si>
    <r>
      <rPr>
        <sz val="10"/>
        <rFont val="WenQuanYi Zen Hei"/>
        <family val="2"/>
      </rPr>
      <t xml:space="preserve">完了予定日が</t>
    </r>
    <r>
      <rPr>
        <sz val="10"/>
        <rFont val="Meiryo"/>
        <family val="0"/>
        <charset val="1"/>
      </rPr>
      <t xml:space="preserve">26</t>
    </r>
    <r>
      <rPr>
        <sz val="10"/>
        <rFont val="WenQuanYi Zen Hei"/>
        <family val="2"/>
      </rPr>
      <t xml:space="preserve">年度。下期＝</t>
    </r>
    <r>
      <rPr>
        <sz val="10"/>
        <rFont val="Meiryo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月〜</t>
    </r>
    <r>
      <rPr>
        <sz val="10"/>
        <rFont val="Meiryo"/>
        <family val="0"/>
        <charset val="1"/>
      </rPr>
      <t xml:space="preserve">2027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月</t>
    </r>
  </si>
  <si>
    <t xml:space="preserve">基準日</t>
  </si>
  <si>
    <r>
      <rPr>
        <sz val="10"/>
        <rFont val="Meiryo"/>
        <family val="0"/>
        <charset val="1"/>
      </rPr>
      <t xml:space="preserve">2026/10/05 SF</t>
    </r>
    <r>
      <rPr>
        <sz val="10"/>
        <rFont val="WenQuanYi Zen Hei"/>
        <family val="2"/>
      </rPr>
      <t xml:space="preserve">出力（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月の増減は </t>
    </r>
    <r>
      <rPr>
        <sz val="10"/>
        <rFont val="Meiryo"/>
        <family val="0"/>
        <charset val="1"/>
      </rPr>
      <t xml:space="preserve">09/01</t>
    </r>
    <r>
      <rPr>
        <sz val="10"/>
        <rFont val="WenQuanYi Zen Hei"/>
        <family val="2"/>
      </rPr>
      <t xml:space="preserve">〜</t>
    </r>
    <r>
      <rPr>
        <sz val="10"/>
        <rFont val="Meiryo"/>
        <family val="0"/>
        <charset val="1"/>
      </rPr>
      <t xml:space="preserve">09/28 </t>
    </r>
    <r>
      <rPr>
        <sz val="10"/>
        <rFont val="WenQuanYi Zen Hei"/>
        <family val="2"/>
      </rPr>
      <t xml:space="preserve">の変更履歴）</t>
    </r>
  </si>
  <si>
    <t xml:space="preserve">含まないもの</t>
  </si>
  <si>
    <r>
      <rPr>
        <sz val="10"/>
        <rFont val="Meiryo"/>
        <family val="0"/>
        <charset val="1"/>
      </rPr>
      <t xml:space="preserve">OEM</t>
    </r>
    <r>
      <rPr>
        <sz val="10"/>
        <rFont val="WenQuanYi Zen Hei"/>
        <family val="2"/>
      </rPr>
      <t xml:space="preserve">・建築。営業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分類の全体を見る場合は別途レポートが必要</t>
    </r>
  </si>
  <si>
    <t xml:space="preserve">■ 各数字の作り方</t>
  </si>
  <si>
    <t xml:space="preserve">① 受注済</t>
  </si>
  <si>
    <r>
      <rPr>
        <sz val="10"/>
        <rFont val="WenQuanYi Zen Hei"/>
        <family val="2"/>
      </rPr>
      <t xml:space="preserve">下期・フェーズ「</t>
    </r>
    <r>
      <rPr>
        <sz val="10"/>
        <rFont val="Meiryo"/>
        <family val="0"/>
        <charset val="1"/>
      </rPr>
      <t xml:space="preserve">07.</t>
    </r>
    <r>
      <rPr>
        <sz val="10"/>
        <rFont val="WenQuanYi Zen Hei"/>
        <family val="2"/>
      </rPr>
      <t xml:space="preserve">成約」の金額合計（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13,111</t>
    </r>
    <r>
      <rPr>
        <sz val="10"/>
        <rFont val="WenQuanYi Zen Hei"/>
        <family val="2"/>
      </rPr>
      <t xml:space="preserve">千円）</t>
    </r>
  </si>
  <si>
    <r>
      <rPr>
        <b val="true"/>
        <sz val="10"/>
        <color rgb="FF1A1A1A"/>
        <rFont val="Meiryo"/>
        <family val="0"/>
        <charset val="1"/>
      </rPr>
      <t xml:space="preserve">② AB</t>
    </r>
    <r>
      <rPr>
        <b val="true"/>
        <sz val="10"/>
        <color rgb="FF1A1A1A"/>
        <rFont val="WenQuanYi Zen Hei"/>
        <family val="2"/>
      </rPr>
      <t xml:space="preserve">玉</t>
    </r>
  </si>
  <si>
    <r>
      <rPr>
        <sz val="10"/>
        <rFont val="WenQuanYi Zen Hei"/>
        <family val="2"/>
      </rPr>
      <t xml:space="preserve">下期・確度</t>
    </r>
    <r>
      <rPr>
        <sz val="10"/>
        <rFont val="Meiryo"/>
        <family val="0"/>
        <charset val="1"/>
      </rPr>
      <t xml:space="preserve">A </t>
    </r>
    <r>
      <rPr>
        <sz val="10"/>
        <rFont val="WenQuanYi Zen Hei"/>
        <family val="2"/>
      </rPr>
      <t xml:space="preserve">または 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・フェーズ</t>
    </r>
    <r>
      <rPr>
        <sz val="10"/>
        <rFont val="Meiryo"/>
        <family val="0"/>
        <charset val="1"/>
      </rPr>
      <t xml:space="preserve">07</t>
    </r>
    <r>
      <rPr>
        <sz val="10"/>
        <rFont val="WenQuanYi Zen Hei"/>
        <family val="2"/>
      </rPr>
      <t xml:space="preserve">以外の金額合計（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20,739</t>
    </r>
    <r>
      <rPr>
        <sz val="10"/>
        <rFont val="WenQuanYi Zen Hei"/>
        <family val="2"/>
      </rPr>
      <t xml:space="preserve">千円）</t>
    </r>
  </si>
  <si>
    <r>
      <rPr>
        <b val="true"/>
        <sz val="10"/>
        <color rgb="FF1A1A1A"/>
        <rFont val="Meiryo"/>
        <family val="0"/>
        <charset val="1"/>
      </rPr>
      <t xml:space="preserve">③ CD</t>
    </r>
    <r>
      <rPr>
        <b val="true"/>
        <sz val="10"/>
        <color rgb="FF1A1A1A"/>
        <rFont val="WenQuanYi Zen Hei"/>
        <family val="2"/>
      </rPr>
      <t xml:space="preserve">玉</t>
    </r>
  </si>
  <si>
    <r>
      <rPr>
        <sz val="10"/>
        <rFont val="WenQuanYi Zen Hei"/>
        <family val="2"/>
      </rPr>
      <t xml:space="preserve">下期・確度</t>
    </r>
    <r>
      <rPr>
        <sz val="10"/>
        <rFont val="Meiryo"/>
        <family val="0"/>
        <charset val="1"/>
      </rPr>
      <t xml:space="preserve">C </t>
    </r>
    <r>
      <rPr>
        <sz val="10"/>
        <rFont val="WenQuanYi Zen Hei"/>
        <family val="2"/>
      </rPr>
      <t xml:space="preserve">または </t>
    </r>
    <r>
      <rPr>
        <sz val="10"/>
        <rFont val="Meiryo"/>
        <family val="0"/>
        <charset val="1"/>
      </rPr>
      <t xml:space="preserve">D</t>
    </r>
    <r>
      <rPr>
        <sz val="10"/>
        <rFont val="WenQuanYi Zen Hei"/>
        <family val="2"/>
      </rPr>
      <t xml:space="preserve">・フェーズ</t>
    </r>
    <r>
      <rPr>
        <sz val="10"/>
        <rFont val="Meiryo"/>
        <family val="0"/>
        <charset val="1"/>
      </rPr>
      <t xml:space="preserve">07</t>
    </r>
    <r>
      <rPr>
        <sz val="10"/>
        <rFont val="WenQuanYi Zen Hei"/>
        <family val="2"/>
      </rPr>
      <t xml:space="preserve">以外の金額合計（</t>
    </r>
    <r>
      <rPr>
        <sz val="10"/>
        <rFont val="Meiryo"/>
        <family val="0"/>
        <charset val="1"/>
      </rPr>
      <t xml:space="preserve">113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183,799</t>
    </r>
    <r>
      <rPr>
        <sz val="10"/>
        <rFont val="WenQuanYi Zen Hei"/>
        <family val="2"/>
      </rPr>
      <t xml:space="preserve">千円）</t>
    </r>
  </si>
  <si>
    <r>
      <rPr>
        <b val="true"/>
        <sz val="10"/>
        <color rgb="FF1A1A1A"/>
        <rFont val="Meiryo"/>
        <family val="0"/>
        <charset val="1"/>
      </rPr>
      <t xml:space="preserve">AB</t>
    </r>
    <r>
      <rPr>
        <b val="true"/>
        <sz val="10"/>
        <color rgb="FF1A1A1A"/>
        <rFont val="WenQuanYi Zen Hei"/>
        <family val="2"/>
      </rPr>
      <t xml:space="preserve">玉ベース着地見込み</t>
    </r>
  </si>
  <si>
    <t xml:space="preserve">① ＋ ②。確度が高く、ほぼ動かない確定ライン</t>
  </si>
  <si>
    <t xml:space="preserve">下期予算 −（①＋②）</t>
  </si>
  <si>
    <r>
      <rPr>
        <sz val="10"/>
        <rFont val="WenQuanYi Zen Hei"/>
        <family val="2"/>
      </rPr>
      <t xml:space="preserve">残り必要額 </t>
    </r>
    <r>
      <rPr>
        <sz val="10"/>
        <rFont val="Meiryo"/>
        <family val="0"/>
        <charset val="1"/>
      </rPr>
      <t xml:space="preserve">÷ CD</t>
    </r>
    <r>
      <rPr>
        <sz val="10"/>
        <rFont val="WenQuanYi Zen Hei"/>
        <family val="2"/>
      </rPr>
      <t xml:space="preserve">玉。</t>
    </r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玉のうちこれだけ成約できれば予算に届く</t>
    </r>
  </si>
  <si>
    <r>
      <rPr>
        <b val="true"/>
        <sz val="10"/>
        <color rgb="FF1A1A1A"/>
        <rFont val="WenQuanYi Zen Hei"/>
        <family val="2"/>
      </rPr>
      <t xml:space="preserve">想定転換率 </t>
    </r>
    <r>
      <rPr>
        <b val="true"/>
        <sz val="10"/>
        <color rgb="FF1A1A1A"/>
        <rFont val="Meiryo"/>
        <family val="0"/>
        <charset val="1"/>
      </rPr>
      <t xml:space="preserve">37.3%</t>
    </r>
  </si>
  <si>
    <r>
      <rPr>
        <sz val="10"/>
        <rFont val="WenQuanYi Zen Hei"/>
        <family val="2"/>
      </rPr>
      <t xml:space="preserve">スプレッドシート（直近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593</t>
    </r>
    <r>
      <rPr>
        <sz val="10"/>
        <rFont val="WenQuanYi Zen Hei"/>
        <family val="2"/>
      </rPr>
      <t xml:space="preserve">件）の実測成約率。成約件数 </t>
    </r>
    <r>
      <rPr>
        <sz val="10"/>
        <rFont val="Meiryo"/>
        <family val="0"/>
        <charset val="1"/>
      </rPr>
      <t xml:space="preserve">÷ </t>
    </r>
    <r>
      <rPr>
        <sz val="10"/>
        <rFont val="WenQuanYi Zen Hei"/>
        <family val="2"/>
      </rPr>
      <t xml:space="preserve">総商談件数</t>
    </r>
  </si>
  <si>
    <r>
      <rPr>
        <sz val="10"/>
        <rFont val="WenQuanYi Zen Hei"/>
        <family val="2"/>
      </rPr>
      <t xml:space="preserve">① ＋ ② ＋（</t>
    </r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 </t>
    </r>
    <r>
      <rPr>
        <sz val="10"/>
        <rFont val="Meiryo"/>
        <family val="0"/>
        <charset val="1"/>
      </rPr>
      <t xml:space="preserve">× </t>
    </r>
    <r>
      <rPr>
        <sz val="10"/>
        <rFont val="WenQuanYi Zen Hei"/>
        <family val="2"/>
      </rPr>
      <t xml:space="preserve">想定転換率）</t>
    </r>
  </si>
  <si>
    <r>
      <rPr>
        <sz val="10"/>
        <rFont val="WenQuanYi Zen Hei"/>
        <family val="2"/>
      </rPr>
      <t xml:space="preserve">下期予算 </t>
    </r>
    <r>
      <rPr>
        <sz val="10"/>
        <rFont val="Meiryo"/>
        <family val="0"/>
        <charset val="1"/>
      </rPr>
      <t xml:space="preserve">÷ 6</t>
    </r>
    <r>
      <rPr>
        <sz val="10"/>
        <rFont val="WenQuanYi Zen Hei"/>
        <family val="2"/>
      </rPr>
      <t xml:space="preserve">ヶ月の均等割。実際の月次配分があれば月次シートで直接上書きする</t>
    </r>
  </si>
  <si>
    <r>
      <rPr>
        <b val="true"/>
        <sz val="10"/>
        <color rgb="FF2C5F2D"/>
        <rFont val="Meiryo"/>
        <family val="0"/>
        <charset val="1"/>
      </rPr>
      <t xml:space="preserve">■ 9</t>
    </r>
    <r>
      <rPr>
        <b val="true"/>
        <sz val="10"/>
        <color rgb="FF2C5F2D"/>
        <rFont val="WenQuanYi Zen Hei"/>
        <family val="2"/>
      </rPr>
      <t xml:space="preserve">月増減の作り方</t>
    </r>
  </si>
  <si>
    <t xml:space="preserve">方法</t>
  </si>
  <si>
    <r>
      <rPr>
        <sz val="10"/>
        <rFont val="Meiryo"/>
        <family val="0"/>
        <charset val="1"/>
      </rPr>
      <t xml:space="preserve">SF</t>
    </r>
    <r>
      <rPr>
        <sz val="10"/>
        <rFont val="WenQuanYi Zen Hei"/>
        <family val="2"/>
      </rPr>
      <t xml:space="preserve">の商談変更履歴（確度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・金額・フェーズ・完了予定日・作成）</t>
    </r>
    <r>
      <rPr>
        <sz val="10"/>
        <rFont val="Meiryo"/>
        <family val="0"/>
        <charset val="1"/>
      </rPr>
      <t xml:space="preserve">405</t>
    </r>
    <r>
      <rPr>
        <sz val="10"/>
        <rFont val="WenQuanYi Zen Hei"/>
        <family val="2"/>
      </rPr>
      <t xml:space="preserve">件を時系列で再生</t>
    </r>
  </si>
  <si>
    <r>
      <rPr>
        <b val="true"/>
        <sz val="10"/>
        <color rgb="FF1A1A1A"/>
        <rFont val="Meiryo"/>
        <family val="0"/>
        <charset val="1"/>
      </rPr>
      <t xml:space="preserve">9/1</t>
    </r>
    <r>
      <rPr>
        <b val="true"/>
        <sz val="10"/>
        <color rgb="FF1A1A1A"/>
        <rFont val="WenQuanYi Zen Hei"/>
        <family val="2"/>
      </rPr>
      <t xml:space="preserve">時点の値</t>
    </r>
  </si>
  <si>
    <t xml:space="preserve">現在値から変更チェーンを逆向きに辿って復元</t>
  </si>
  <si>
    <r>
      <rPr>
        <b val="true"/>
        <sz val="10"/>
        <color rgb="FF1A1A1A"/>
        <rFont val="Meiryo"/>
        <family val="0"/>
        <charset val="1"/>
      </rPr>
      <t xml:space="preserve">AB</t>
    </r>
    <r>
      <rPr>
        <b val="true"/>
        <sz val="10"/>
        <color rgb="FF1A1A1A"/>
        <rFont val="WenQuanYi Zen Hei"/>
        <family val="2"/>
      </rPr>
      <t xml:space="preserve">総玉の定義</t>
    </r>
  </si>
  <si>
    <r>
      <rPr>
        <sz val="10"/>
        <rFont val="WenQuanYi Zen Hei"/>
        <family val="2"/>
      </rPr>
      <t xml:space="preserve">確度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B </t>
    </r>
    <r>
      <rPr>
        <sz val="10"/>
        <rFont val="WenQuanYi Zen Hei"/>
        <family val="2"/>
      </rPr>
      <t xml:space="preserve">かつ フェーズ≠</t>
    </r>
    <r>
      <rPr>
        <sz val="10"/>
        <rFont val="Meiryo"/>
        <family val="0"/>
        <charset val="1"/>
      </rPr>
      <t xml:space="preserve">00_</t>
    </r>
    <r>
      <rPr>
        <sz val="10"/>
        <rFont val="WenQuanYi Zen Hei"/>
        <family val="2"/>
      </rPr>
      <t xml:space="preserve">失注 かつ 完了予定日が</t>
    </r>
    <r>
      <rPr>
        <sz val="10"/>
        <rFont val="Meiryo"/>
        <family val="0"/>
        <charset val="1"/>
      </rPr>
      <t xml:space="preserve">26</t>
    </r>
    <r>
      <rPr>
        <sz val="10"/>
        <rFont val="WenQuanYi Zen Hei"/>
        <family val="2"/>
      </rPr>
      <t xml:space="preserve">年度内 の金額</t>
    </r>
  </si>
  <si>
    <t xml:space="preserve">■ 注意点</t>
  </si>
  <si>
    <r>
      <rPr>
        <b val="true"/>
        <sz val="10"/>
        <color rgb="FF1A1A1A"/>
        <rFont val="WenQuanYi Zen Hei"/>
        <family val="2"/>
      </rPr>
      <t xml:space="preserve">下期予算 </t>
    </r>
    <r>
      <rPr>
        <b val="true"/>
        <sz val="10"/>
        <color rgb="FF1A1A1A"/>
        <rFont val="Meiryo"/>
        <family val="0"/>
        <charset val="1"/>
      </rPr>
      <t xml:space="preserve">141,913</t>
    </r>
    <r>
      <rPr>
        <b val="true"/>
        <sz val="10"/>
        <color rgb="FF1A1A1A"/>
        <rFont val="WenQuanYi Zen Hei"/>
        <family val="2"/>
      </rPr>
      <t xml:space="preserve">千円</t>
    </r>
  </si>
  <si>
    <r>
      <rPr>
        <sz val="10"/>
        <rFont val="Meiryo"/>
        <family val="0"/>
        <charset val="1"/>
      </rPr>
      <t xml:space="preserve">9/11</t>
    </r>
    <r>
      <rPr>
        <sz val="10"/>
        <rFont val="WenQuanYi Zen Hei"/>
        <family val="2"/>
      </rPr>
      <t xml:space="preserve">時点で使用した値。</t>
    </r>
    <r>
      <rPr>
        <sz val="10"/>
        <rFont val="Meiryo"/>
        <family val="0"/>
        <charset val="1"/>
      </rPr>
      <t xml:space="preserve">SF</t>
    </r>
    <r>
      <rPr>
        <sz val="10"/>
        <rFont val="WenQuanYi Zen Hei"/>
        <family val="2"/>
      </rPr>
      <t xml:space="preserve">の正式な下期予算と一致するか要確認。ここが変わると全部動く</t>
    </r>
  </si>
  <si>
    <t xml:space="preserve">金額未入力</t>
  </si>
  <si>
    <r>
      <rPr>
        <sz val="10"/>
        <rFont val="WenQuanYi Zen Hei"/>
        <family val="2"/>
      </rPr>
      <t xml:space="preserve">下期</t>
    </r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</t>
    </r>
    <r>
      <rPr>
        <sz val="10"/>
        <rFont val="Meiryo"/>
        <family val="0"/>
        <charset val="1"/>
      </rPr>
      <t xml:space="preserve">113</t>
    </r>
    <r>
      <rPr>
        <sz val="10"/>
        <rFont val="WenQuanYi Zen Hei"/>
        <family val="2"/>
      </rPr>
      <t xml:space="preserve">件のうち</t>
    </r>
    <r>
      <rPr>
        <sz val="10"/>
        <rFont val="Meiryo"/>
        <family val="0"/>
        <charset val="1"/>
      </rPr>
      <t xml:space="preserve">34</t>
    </r>
    <r>
      <rPr>
        <sz val="10"/>
        <rFont val="WenQuanYi Zen Hei"/>
        <family val="2"/>
      </rPr>
      <t xml:space="preserve">件（</t>
    </r>
    <r>
      <rPr>
        <sz val="10"/>
        <rFont val="Meiryo"/>
        <family val="0"/>
        <charset val="1"/>
      </rPr>
      <t xml:space="preserve">30%</t>
    </r>
    <r>
      <rPr>
        <sz val="10"/>
        <rFont val="WenQuanYi Zen Hei"/>
        <family val="2"/>
      </rPr>
      <t xml:space="preserve">）が空欄。</t>
    </r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</t>
    </r>
    <r>
      <rPr>
        <sz val="10"/>
        <rFont val="Meiryo"/>
        <family val="0"/>
        <charset val="1"/>
      </rPr>
      <t xml:space="preserve">183,799</t>
    </r>
    <r>
      <rPr>
        <sz val="10"/>
        <rFont val="WenQuanYi Zen Hei"/>
        <family val="2"/>
      </rPr>
      <t xml:space="preserve">千円は過小評価</t>
    </r>
  </si>
  <si>
    <r>
      <rPr>
        <b val="true"/>
        <sz val="10"/>
        <color rgb="FF1A1A1A"/>
        <rFont val="Meiryo"/>
        <family val="0"/>
        <charset val="1"/>
      </rPr>
      <t xml:space="preserve">3</t>
    </r>
    <r>
      <rPr>
        <b val="true"/>
        <sz val="10"/>
        <color rgb="FF1A1A1A"/>
        <rFont val="WenQuanYi Zen Hei"/>
        <family val="2"/>
      </rPr>
      <t xml:space="preserve">月への集中</t>
    </r>
  </si>
  <si>
    <r>
      <rPr>
        <sz val="10"/>
        <rFont val="WenQuanYi Zen Hei"/>
        <family val="2"/>
      </rPr>
      <t xml:space="preserve">下期</t>
    </r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玉の</t>
    </r>
    <r>
      <rPr>
        <sz val="10"/>
        <rFont val="Meiryo"/>
        <family val="0"/>
        <charset val="1"/>
      </rPr>
      <t xml:space="preserve">65%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118,674</t>
    </r>
    <r>
      <rPr>
        <sz val="10"/>
        <rFont val="WenQuanYi Zen Hei"/>
        <family val="2"/>
      </rPr>
      <t xml:space="preserve">千円・</t>
    </r>
    <r>
      <rPr>
        <sz val="10"/>
        <rFont val="Meiryo"/>
        <family val="0"/>
        <charset val="1"/>
      </rPr>
      <t xml:space="preserve">52</t>
    </r>
    <r>
      <rPr>
        <sz val="10"/>
        <rFont val="WenQuanYi Zen Hei"/>
        <family val="2"/>
      </rPr>
      <t xml:space="preserve">件）が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月完了予定</t>
    </r>
  </si>
  <si>
    <t xml:space="preserve">保有の偏り</t>
  </si>
  <si>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玉の</t>
    </r>
    <r>
      <rPr>
        <sz val="10"/>
        <rFont val="Meiryo"/>
        <family val="0"/>
        <charset val="1"/>
      </rPr>
      <t xml:space="preserve">81%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62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148,987</t>
    </r>
    <r>
      <rPr>
        <sz val="10"/>
        <rFont val="WenQuanYi Zen Hei"/>
        <family val="2"/>
      </rPr>
      <t xml:space="preserve">千円）を片岡さんが保有</t>
    </r>
  </si>
  <si>
    <r>
      <rPr>
        <b val="true"/>
        <sz val="10"/>
        <color rgb="FF1A1A1A"/>
        <rFont val="Meiryo"/>
        <family val="0"/>
        <charset val="1"/>
      </rPr>
      <t xml:space="preserve">11</t>
    </r>
    <r>
      <rPr>
        <b val="true"/>
        <sz val="10"/>
        <color rgb="FF1A1A1A"/>
        <rFont val="WenQuanYi Zen Hei"/>
        <family val="2"/>
      </rPr>
      <t xml:space="preserve">月の薄さ</t>
    </r>
  </si>
  <si>
    <r>
      <rPr>
        <sz val="10"/>
        <rFont val="WenQuanYi Zen Hei"/>
        <family val="2"/>
      </rPr>
      <t xml:space="preserve">玉が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件・</t>
    </r>
    <r>
      <rPr>
        <sz val="10"/>
        <rFont val="Meiryo"/>
        <family val="0"/>
        <charset val="1"/>
      </rPr>
      <t xml:space="preserve">9,820</t>
    </r>
    <r>
      <rPr>
        <sz val="10"/>
        <rFont val="WenQuanYi Zen Hei"/>
        <family val="2"/>
      </rPr>
      <t xml:space="preserve">千円。</t>
    </r>
    <r>
      <rPr>
        <sz val="10"/>
        <rFont val="Meiryo"/>
        <family val="0"/>
        <charset val="1"/>
      </rPr>
      <t xml:space="preserve">AB</t>
    </r>
    <r>
      <rPr>
        <sz val="10"/>
        <rFont val="WenQuanYi Zen Hei"/>
        <family val="2"/>
      </rPr>
      <t xml:space="preserve">玉は阪急阪神不動産</t>
    </r>
    <r>
      <rPr>
        <sz val="10"/>
        <rFont val="Meiryo"/>
        <family val="0"/>
        <charset val="1"/>
      </rPr>
      <t xml:space="preserve">3,700</t>
    </r>
    <r>
      <rPr>
        <sz val="10"/>
        <rFont val="WenQuanYi Zen Hei"/>
        <family val="2"/>
      </rPr>
      <t xml:space="preserve">の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件のみ</t>
    </r>
  </si>
  <si>
    <r>
      <rPr>
        <b val="true"/>
        <sz val="10"/>
        <color rgb="FF1A1A1A"/>
        <rFont val="Meiryo"/>
        <family val="0"/>
        <charset val="1"/>
      </rPr>
      <t xml:space="preserve">9</t>
    </r>
    <r>
      <rPr>
        <b val="true"/>
        <sz val="10"/>
        <color rgb="FF1A1A1A"/>
        <rFont val="WenQuanYi Zen Hei"/>
        <family val="2"/>
      </rPr>
      <t xml:space="preserve">月の集中</t>
    </r>
  </si>
  <si>
    <r>
      <rPr>
        <sz val="10"/>
        <rFont val="Meiryo"/>
        <family val="0"/>
        <charset val="1"/>
      </rPr>
      <t xml:space="preserve">AB</t>
    </r>
    <r>
      <rPr>
        <sz val="10"/>
        <rFont val="WenQuanYi Zen Hei"/>
        <family val="2"/>
      </rPr>
      <t xml:space="preserve">総玉増加の</t>
    </r>
    <r>
      <rPr>
        <sz val="10"/>
        <rFont val="Meiryo"/>
        <family val="0"/>
        <charset val="1"/>
      </rPr>
      <t xml:space="preserve">99%</t>
    </r>
    <r>
      <rPr>
        <sz val="10"/>
        <rFont val="WenQuanYi Zen Hei"/>
        <family val="2"/>
      </rPr>
      <t xml:space="preserve">が確度</t>
    </r>
    <r>
      <rPr>
        <sz val="10"/>
        <rFont val="Meiryo"/>
        <family val="0"/>
        <charset val="1"/>
      </rPr>
      <t xml:space="preserve">UP</t>
    </r>
    <r>
      <rPr>
        <sz val="10"/>
        <rFont val="WenQuanYi Zen Hei"/>
        <family val="2"/>
      </rPr>
      <t xml:space="preserve">。うち</t>
    </r>
    <r>
      <rPr>
        <sz val="10"/>
        <rFont val="Meiryo"/>
        <family val="0"/>
        <charset val="1"/>
      </rPr>
      <t xml:space="preserve">89%</t>
    </r>
    <r>
      <rPr>
        <sz val="10"/>
        <rFont val="WenQuanYi Zen Hei"/>
        <family val="2"/>
      </rPr>
      <t xml:space="preserve">が認証桧柾目材供給</t>
    </r>
    <r>
      <rPr>
        <sz val="10"/>
        <rFont val="Meiryo"/>
        <family val="0"/>
        <charset val="1"/>
      </rPr>
      <t xml:space="preserve">PJ</t>
    </r>
    <r>
      <rPr>
        <sz val="10"/>
        <rFont val="WenQuanYi Zen Hei"/>
        <family val="2"/>
      </rPr>
      <t xml:space="preserve">の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件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</si>
</sst>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▲#,##0;\-"/>
    <numFmt numFmtId="166" formatCode="0.0%"/>
    <numFmt numFmtId="167" formatCode="\+#,##0;\▲#,##0;\-"/>
    <numFmt numFmtId="168" formatCode="#,##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5F2D"/>
      <name val="WenQuanYi Zen Hei"/>
      <family val="2"/>
    </font>
    <font>
      <sz val="9"/>
      <color rgb="FF767676"/>
      <name val="WenQuanYi Zen Hei"/>
      <family val="2"/>
    </font>
    <font>
      <sz val="9"/>
      <color rgb="FF767676"/>
      <name val="Meiryo"/>
      <family val="0"/>
      <charset val="1"/>
    </font>
    <font>
      <b val="true"/>
      <sz val="12"/>
      <color rgb="FF2C5F2D"/>
      <name val="WenQuanYi Zen Hei"/>
      <family val="2"/>
    </font>
    <font>
      <b val="true"/>
      <sz val="9.5"/>
      <color rgb="FF767676"/>
      <name val="WenQuanYi Zen Hei"/>
      <family val="2"/>
    </font>
    <font>
      <b val="true"/>
      <sz val="9.5"/>
      <color rgb="FF767676"/>
      <name val="Meiryo"/>
      <family val="0"/>
      <charset val="1"/>
    </font>
    <font>
      <b val="true"/>
      <sz val="22"/>
      <color rgb="FF1A1A1A"/>
      <name val="Meiryo"/>
      <family val="0"/>
      <charset val="1"/>
    </font>
    <font>
      <b val="true"/>
      <sz val="22"/>
      <color rgb="FF2C5F2D"/>
      <name val="Meiryo"/>
      <family val="0"/>
      <charset val="1"/>
    </font>
    <font>
      <b val="true"/>
      <sz val="22"/>
      <color rgb="FF2E5C8A"/>
      <name val="Meiryo"/>
      <family val="0"/>
      <charset val="1"/>
    </font>
    <font>
      <sz val="8.5"/>
      <color rgb="FF767676"/>
      <name val="Meiryo"/>
      <family val="0"/>
      <charset val="1"/>
    </font>
    <font>
      <sz val="8.5"/>
      <color rgb="FF767676"/>
      <name val="WenQuanYi Zen Hei"/>
      <family val="2"/>
    </font>
    <font>
      <b val="true"/>
      <sz val="24"/>
      <color rgb="FF2C5F2D"/>
      <name val="Meiryo"/>
      <family val="0"/>
      <charset val="1"/>
    </font>
    <font>
      <b val="true"/>
      <sz val="24"/>
      <color rgb="FFB04A3C"/>
      <name val="Meiryo"/>
      <family val="0"/>
      <charset val="1"/>
    </font>
    <font>
      <b val="true"/>
      <sz val="24"/>
      <color rgb="FFC87941"/>
      <name val="Meiryo"/>
      <family val="0"/>
      <charset val="1"/>
    </font>
    <font>
      <b val="true"/>
      <sz val="10"/>
      <color rgb="FFB04A3C"/>
      <name val="WenQuanYi Zen Hei"/>
      <family val="2"/>
    </font>
    <font>
      <b val="true"/>
      <sz val="10"/>
      <color rgb="FFB04A3C"/>
      <name val="Meiryo"/>
      <family val="0"/>
      <charset val="1"/>
    </font>
    <font>
      <b val="true"/>
      <sz val="22"/>
      <color rgb="FFB04A3C"/>
      <name val="Meiryo"/>
      <family val="0"/>
      <charset val="1"/>
    </font>
    <font>
      <b val="true"/>
      <sz val="22"/>
      <color rgb="FFC87941"/>
      <name val="Meiryo"/>
      <family val="0"/>
      <charset val="1"/>
    </font>
    <font>
      <b val="true"/>
      <sz val="12"/>
      <color rgb="FF2C5F2D"/>
      <name val="Meiryo"/>
      <family val="0"/>
      <charset val="1"/>
    </font>
    <font>
      <b val="true"/>
      <sz val="10"/>
      <color rgb="FFC87941"/>
      <name val="WenQuanYi Zen Hei"/>
      <family val="2"/>
    </font>
    <font>
      <b val="true"/>
      <sz val="10"/>
      <color rgb="FFC87941"/>
      <name val="Meiryo"/>
      <family val="0"/>
      <charset val="1"/>
    </font>
    <font>
      <b val="true"/>
      <sz val="20"/>
      <color rgb="FF1A1A1A"/>
      <name val="Meiryo"/>
      <family val="0"/>
      <charset val="1"/>
    </font>
    <font>
      <b val="true"/>
      <sz val="13"/>
      <color rgb="FF2C5F2D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Meiryo"/>
      <family val="0"/>
      <charset val="1"/>
    </font>
    <font>
      <sz val="10"/>
      <color rgb="FF0000FF"/>
      <name val="Meiryo"/>
      <family val="0"/>
      <charset val="1"/>
    </font>
    <font>
      <b val="true"/>
      <sz val="10"/>
      <name val="Meiryo"/>
      <family val="0"/>
      <charset val="1"/>
    </font>
    <font>
      <sz val="10"/>
      <color rgb="FF0000FF"/>
      <name val="WenQuanYi Zen Hei"/>
      <family val="2"/>
    </font>
    <font>
      <sz val="10"/>
      <color rgb="FF1A1A1A"/>
      <name val="WenQuanYi Zen Hei"/>
      <family val="2"/>
    </font>
    <font>
      <b val="true"/>
      <sz val="13"/>
      <color rgb="FF2C5F2D"/>
      <name val="Meiryo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Meiryo"/>
      <family val="0"/>
      <charset val="1"/>
    </font>
    <font>
      <b val="true"/>
      <sz val="10"/>
      <color rgb="FF2C5F2D"/>
      <name val="WenQuanYi Zen Hei"/>
      <family val="2"/>
    </font>
    <font>
      <b val="true"/>
      <sz val="10"/>
      <color rgb="FF1A1A1A"/>
      <name val="WenQuanYi Zen Hei"/>
      <family val="2"/>
    </font>
    <font>
      <b val="true"/>
      <sz val="10"/>
      <color rgb="FF1A1A1A"/>
      <name val="Meiryo"/>
      <family val="0"/>
      <charset val="1"/>
    </font>
    <font>
      <b val="true"/>
      <sz val="10"/>
      <color rgb="FF2C5F2D"/>
      <name val="Meiryo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4F6F1"/>
        <bgColor rgb="FFEDF1F7"/>
      </patternFill>
    </fill>
    <fill>
      <patternFill patternType="solid">
        <fgColor rgb="FFEBF3EA"/>
        <bgColor rgb="FFEDF1F7"/>
      </patternFill>
    </fill>
    <fill>
      <patternFill patternType="solid">
        <fgColor rgb="FFEDF1F7"/>
        <bgColor rgb="FFEBF3EA"/>
      </patternFill>
    </fill>
    <fill>
      <patternFill patternType="solid">
        <fgColor rgb="FFFBEDEB"/>
        <bgColor rgb="FFF4F6F1"/>
      </patternFill>
    </fill>
    <fill>
      <patternFill patternType="solid">
        <fgColor rgb="FFFFF8DC"/>
        <bgColor rgb="FFF4F6F1"/>
      </patternFill>
    </fill>
    <fill>
      <patternFill patternType="solid">
        <fgColor rgb="FFFFF2A8"/>
        <bgColor rgb="FFFFF8DC"/>
      </patternFill>
    </fill>
    <fill>
      <patternFill patternType="solid">
        <fgColor rgb="FFFFFF00"/>
        <bgColor rgb="FFFFFF00"/>
      </patternFill>
    </fill>
    <fill>
      <patternFill patternType="solid">
        <fgColor rgb="FF2C5F2D"/>
        <bgColor rgb="FF2E5C8A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DCE3D5"/>
      </left>
      <right style="thin">
        <color rgb="FFDCE3D5"/>
      </right>
      <top style="thin">
        <color rgb="FFDCE3D5"/>
      </top>
      <bottom style="thin">
        <color rgb="FFDCE3D5"/>
      </bottom>
      <diagonal/>
    </border>
    <border diagonalUp="false" diagonalDown="false">
      <left style="thin">
        <color rgb="FFC3DCC2"/>
      </left>
      <right style="thin">
        <color rgb="FFC3DCC2"/>
      </right>
      <top style="thin">
        <color rgb="FFC3DCC2"/>
      </top>
      <bottom style="thin">
        <color rgb="FFC3DCC2"/>
      </bottom>
      <diagonal/>
    </border>
    <border diagonalUp="false" diagonalDown="false">
      <left style="thin">
        <color rgb="FFCFDAE8"/>
      </left>
      <right style="thin">
        <color rgb="FFCFDAE8"/>
      </right>
      <top style="thin">
        <color rgb="FFCFDAE8"/>
      </top>
      <bottom style="thin">
        <color rgb="FFCFDAE8"/>
      </bottom>
      <diagonal/>
    </border>
    <border diagonalUp="false" diagonalDown="false">
      <left style="thin">
        <color rgb="FFEBCFC9"/>
      </left>
      <right style="thin">
        <color rgb="FFEBCFC9"/>
      </right>
      <top style="thin">
        <color rgb="FFEBCFC9"/>
      </top>
      <bottom style="thin">
        <color rgb="FFEBCFC9"/>
      </bottom>
      <diagonal/>
    </border>
    <border diagonalUp="false" diagonalDown="false">
      <left style="thin">
        <color rgb="FFE8D9A0"/>
      </left>
      <right style="thin">
        <color rgb="FFE8D9A0"/>
      </right>
      <top style="thin">
        <color rgb="FFE8D9A0"/>
      </top>
      <bottom style="thin">
        <color rgb="FFE8D9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5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3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3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CC2"/>
      <rgbColor rgb="FF767676"/>
      <rgbColor rgb="FF9999FF"/>
      <rgbColor rgb="FFB04A3C"/>
      <rgbColor rgb="FFFFF8DC"/>
      <rgbColor rgb="FFEBF3EA"/>
      <rgbColor rgb="FF660066"/>
      <rgbColor rgb="FFC87941"/>
      <rgbColor rgb="FF0066CC"/>
      <rgbColor rgb="FFCFDA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7"/>
      <rgbColor rgb="FFDCE3D5"/>
      <rgbColor rgb="FFFFF2A8"/>
      <rgbColor rgb="FFF4F6F1"/>
      <rgbColor rgb="FFEBCFC9"/>
      <rgbColor rgb="FFFBEDEB"/>
      <rgbColor rgb="FFE8D9A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C5F2D"/>
      <rgbColor rgb="FF993300"/>
      <rgbColor rgb="FF993366"/>
      <rgbColor rgb="FF2E5C8A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13" min="2" style="0" width="11.4"/>
    <col collapsed="false" customWidth="true" hidden="false" outlineLevel="0" max="14" min="14" style="0" width="2.2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25.5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16.5" hidden="false" customHeight="true" outlineLevel="0" collapsed="false">
      <c r="B7" s="5" t="s">
        <v>4</v>
      </c>
      <c r="C7" s="5"/>
      <c r="D7" s="5"/>
      <c r="E7" s="6" t="s">
        <v>5</v>
      </c>
      <c r="F7" s="6"/>
      <c r="G7" s="6"/>
      <c r="H7" s="7" t="s">
        <v>6</v>
      </c>
      <c r="I7" s="7"/>
      <c r="J7" s="7"/>
      <c r="K7" s="8" t="s">
        <v>7</v>
      </c>
      <c r="L7" s="8"/>
      <c r="M7" s="8"/>
    </row>
    <row r="8" customFormat="false" ht="33.75" hidden="false" customHeight="true" outlineLevel="0" collapsed="false">
      <c r="B8" s="9" t="n">
        <f aca="false">前提!B7</f>
        <v>141913</v>
      </c>
      <c r="C8" s="9"/>
      <c r="D8" s="9"/>
      <c r="E8" s="10" t="n">
        <f aca="false">月次!H7</f>
        <v>13111</v>
      </c>
      <c r="F8" s="10"/>
      <c r="G8" s="10"/>
      <c r="H8" s="10" t="n">
        <f aca="false">月次!H8</f>
        <v>20739</v>
      </c>
      <c r="I8" s="10"/>
      <c r="J8" s="10"/>
      <c r="K8" s="11" t="n">
        <f aca="false">月次!H12</f>
        <v>183799</v>
      </c>
      <c r="L8" s="11"/>
      <c r="M8" s="11"/>
    </row>
    <row r="9" customFormat="false" ht="24" hidden="false" customHeight="true" outlineLevel="0" collapsed="false">
      <c r="B9" s="12" t="s">
        <v>8</v>
      </c>
      <c r="C9" s="12"/>
      <c r="D9" s="12"/>
      <c r="E9" s="13" t="s">
        <v>9</v>
      </c>
      <c r="F9" s="13"/>
      <c r="G9" s="13"/>
      <c r="H9" s="13" t="s">
        <v>10</v>
      </c>
      <c r="I9" s="13"/>
      <c r="J9" s="13"/>
      <c r="K9" s="14" t="s">
        <v>11</v>
      </c>
      <c r="L9" s="14"/>
      <c r="M9" s="14"/>
    </row>
    <row r="11" customFormat="false" ht="25.5" hidden="false" customHeight="true" outlineLevel="0" collapsed="false">
      <c r="B11" s="3" t="s">
        <v>12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15" hidden="false" customHeight="true" outlineLevel="0" collapsed="false">
      <c r="B12" s="4" t="s">
        <v>13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16.5" hidden="false" customHeight="true" outlineLevel="0" collapsed="false">
      <c r="B13" s="7" t="s">
        <v>14</v>
      </c>
      <c r="C13" s="7"/>
      <c r="D13" s="7"/>
      <c r="E13" s="6" t="s">
        <v>15</v>
      </c>
      <c r="F13" s="6"/>
      <c r="G13" s="6"/>
      <c r="H13" s="15" t="s">
        <v>16</v>
      </c>
      <c r="I13" s="15"/>
      <c r="J13" s="15"/>
      <c r="K13" s="15" t="s">
        <v>17</v>
      </c>
      <c r="L13" s="15"/>
      <c r="M13" s="15"/>
    </row>
    <row r="14" customFormat="false" ht="33.75" hidden="false" customHeight="true" outlineLevel="0" collapsed="false">
      <c r="B14" s="16" t="n">
        <f aca="false">月次!H9</f>
        <v>33850</v>
      </c>
      <c r="C14" s="16"/>
      <c r="D14" s="16"/>
      <c r="E14" s="17" t="n">
        <f aca="false">月次!H10</f>
        <v>0.238526421117163</v>
      </c>
      <c r="F14" s="17"/>
      <c r="G14" s="17"/>
      <c r="H14" s="18" t="n">
        <f aca="false">月次!H11</f>
        <v>108063</v>
      </c>
      <c r="I14" s="18"/>
      <c r="J14" s="18"/>
      <c r="K14" s="19" t="n">
        <f aca="false">月次!H13</f>
        <v>0.587941174870375</v>
      </c>
      <c r="L14" s="19"/>
      <c r="M14" s="19"/>
    </row>
    <row r="15" customFormat="false" ht="24" hidden="false" customHeight="true" outlineLevel="0" collapsed="false">
      <c r="B15" s="13" t="s">
        <v>18</v>
      </c>
      <c r="C15" s="13"/>
      <c r="D15" s="13"/>
      <c r="E15" s="20" t="s">
        <v>19</v>
      </c>
      <c r="F15" s="20"/>
      <c r="G15" s="20"/>
      <c r="H15" s="21" t="s">
        <v>20</v>
      </c>
      <c r="I15" s="21"/>
      <c r="J15" s="21"/>
      <c r="K15" s="21" t="s">
        <v>21</v>
      </c>
      <c r="L15" s="21"/>
      <c r="M15" s="21"/>
    </row>
    <row r="17" customFormat="false" ht="25.5" hidden="false" customHeight="true" outlineLevel="0" collapsed="false">
      <c r="B17" s="3" t="s">
        <v>22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customFormat="false" ht="15" hidden="false" customHeight="true" outlineLevel="0" collapsed="false">
      <c r="B18" s="4" t="s">
        <v>23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16.5" hidden="false" customHeight="true" outlineLevel="0" collapsed="false">
      <c r="B19" s="5" t="s">
        <v>24</v>
      </c>
      <c r="C19" s="5"/>
      <c r="D19" s="5"/>
      <c r="E19" s="22" t="s">
        <v>25</v>
      </c>
      <c r="F19" s="22"/>
      <c r="G19" s="22"/>
      <c r="H19" s="5" t="s">
        <v>26</v>
      </c>
      <c r="I19" s="5"/>
      <c r="J19" s="5"/>
      <c r="K19" s="15" t="s">
        <v>27</v>
      </c>
      <c r="L19" s="15"/>
      <c r="M19" s="15"/>
    </row>
    <row r="20" customFormat="false" ht="33.75" hidden="false" customHeight="true" outlineLevel="0" collapsed="false">
      <c r="B20" s="23" t="n">
        <f aca="false">前提!B9</f>
        <v>0.373</v>
      </c>
      <c r="C20" s="23"/>
      <c r="D20" s="23"/>
      <c r="E20" s="9" t="n">
        <f aca="false">月次!H14</f>
        <v>68557.027</v>
      </c>
      <c r="F20" s="9"/>
      <c r="G20" s="9"/>
      <c r="H20" s="24" t="n">
        <f aca="false">月次!H15</f>
        <v>102407.027</v>
      </c>
      <c r="I20" s="24"/>
      <c r="J20" s="24"/>
      <c r="K20" s="18" t="n">
        <f aca="false">月次!H17</f>
        <v>-39505.973</v>
      </c>
      <c r="L20" s="18"/>
      <c r="M20" s="18"/>
    </row>
    <row r="21" customFormat="false" ht="24" hidden="false" customHeight="true" outlineLevel="0" collapsed="false">
      <c r="B21" s="25" t="s">
        <v>28</v>
      </c>
      <c r="C21" s="25"/>
      <c r="D21" s="25"/>
      <c r="E21" s="12" t="s">
        <v>29</v>
      </c>
      <c r="F21" s="12"/>
      <c r="G21" s="12"/>
      <c r="H21" s="25" t="s">
        <v>30</v>
      </c>
      <c r="I21" s="25"/>
      <c r="J21" s="25"/>
      <c r="K21" s="21" t="s">
        <v>31</v>
      </c>
      <c r="L21" s="21"/>
      <c r="M21" s="21"/>
    </row>
    <row r="22" customFormat="false" ht="21.75" hidden="false" customHeight="true" outlineLevel="0" collapsed="false">
      <c r="B22" s="26" t="s">
        <v>32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4" customFormat="false" ht="25.5" hidden="false" customHeight="true" outlineLevel="0" collapsed="false">
      <c r="B24" s="3" t="s">
        <v>33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customFormat="false" ht="15" hidden="false" customHeight="true" outlineLevel="0" collapsed="false">
      <c r="B25" s="2" t="s">
        <v>34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customFormat="false" ht="16.5" hidden="false" customHeight="true" outlineLevel="0" collapsed="false">
      <c r="B26" s="7" t="s">
        <v>35</v>
      </c>
      <c r="C26" s="7"/>
      <c r="D26" s="7"/>
      <c r="E26" s="27" t="s">
        <v>36</v>
      </c>
      <c r="F26" s="27"/>
      <c r="G26" s="27"/>
      <c r="H26" s="22" t="s">
        <v>37</v>
      </c>
      <c r="I26" s="22"/>
      <c r="J26" s="22"/>
      <c r="K26" s="5" t="s">
        <v>38</v>
      </c>
      <c r="L26" s="5"/>
      <c r="M26" s="5"/>
    </row>
    <row r="27" customFormat="false" ht="33.75" hidden="false" customHeight="true" outlineLevel="0" collapsed="false">
      <c r="B27" s="17" t="n">
        <f aca="false">月次!B16</f>
        <v>1.12293860322874</v>
      </c>
      <c r="C27" s="17"/>
      <c r="D27" s="17"/>
      <c r="E27" s="19" t="n">
        <f aca="false">月次!C16</f>
        <v>0.252947651025628</v>
      </c>
      <c r="F27" s="19"/>
      <c r="G27" s="19"/>
      <c r="H27" s="28" t="n">
        <f aca="false">月次!D16</f>
        <v>0.929618850986168</v>
      </c>
      <c r="I27" s="28"/>
      <c r="J27" s="28"/>
      <c r="K27" s="28" t="n">
        <f aca="false">月次!H16</f>
        <v>0.721618364772783</v>
      </c>
      <c r="L27" s="28"/>
      <c r="M27" s="28"/>
    </row>
    <row r="28" customFormat="false" ht="24" hidden="false" customHeight="true" outlineLevel="0" collapsed="false">
      <c r="B28" s="13" t="s">
        <v>39</v>
      </c>
      <c r="C28" s="13"/>
      <c r="D28" s="13"/>
      <c r="E28" s="21" t="s">
        <v>40</v>
      </c>
      <c r="F28" s="21"/>
      <c r="G28" s="21"/>
      <c r="H28" s="25" t="s">
        <v>41</v>
      </c>
      <c r="I28" s="25"/>
      <c r="J28" s="25"/>
      <c r="K28" s="25" t="s">
        <v>42</v>
      </c>
      <c r="L28" s="25"/>
      <c r="M28" s="25"/>
    </row>
    <row r="30" customFormat="false" ht="16.5" hidden="false" customHeight="true" outlineLevel="0" collapsed="false">
      <c r="B30" s="7" t="s">
        <v>43</v>
      </c>
      <c r="C30" s="7"/>
      <c r="D30" s="7"/>
      <c r="E30" s="27" t="s">
        <v>44</v>
      </c>
      <c r="F30" s="27"/>
      <c r="G30" s="27"/>
      <c r="H30" s="22" t="s">
        <v>45</v>
      </c>
      <c r="I30" s="22"/>
      <c r="J30" s="22"/>
      <c r="K30" s="27" t="s">
        <v>46</v>
      </c>
      <c r="L30" s="27"/>
      <c r="M30" s="27"/>
    </row>
    <row r="31" customFormat="false" ht="33.75" hidden="false" customHeight="true" outlineLevel="0" collapsed="false">
      <c r="B31" s="10" t="n">
        <f aca="false">月次!B17</f>
        <v>2907.76433333333</v>
      </c>
      <c r="C31" s="10"/>
      <c r="D31" s="10"/>
      <c r="E31" s="29" t="n">
        <f aca="false">月次!C17</f>
        <v>-17669.4066666667</v>
      </c>
      <c r="F31" s="29"/>
      <c r="G31" s="29"/>
      <c r="H31" s="30" t="n">
        <f aca="false">月次!D17</f>
        <v>-1664.66666666667</v>
      </c>
      <c r="I31" s="30"/>
      <c r="J31" s="30"/>
      <c r="K31" s="29" t="n">
        <f aca="false">月次!G12</f>
        <v>118674</v>
      </c>
      <c r="L31" s="29"/>
      <c r="M31" s="29"/>
    </row>
    <row r="32" customFormat="false" ht="24" hidden="false" customHeight="true" outlineLevel="0" collapsed="false">
      <c r="B32" s="13" t="s">
        <v>47</v>
      </c>
      <c r="C32" s="13"/>
      <c r="D32" s="13"/>
      <c r="E32" s="21" t="s">
        <v>47</v>
      </c>
      <c r="F32" s="21"/>
      <c r="G32" s="21"/>
      <c r="H32" s="25" t="s">
        <v>47</v>
      </c>
      <c r="I32" s="25"/>
      <c r="J32" s="25"/>
      <c r="K32" s="31" t="s">
        <v>48</v>
      </c>
      <c r="L32" s="31"/>
      <c r="M32" s="31"/>
    </row>
    <row r="34" customFormat="false" ht="21.75" hidden="false" customHeight="true" outlineLevel="0" collapsed="false">
      <c r="B34" s="32" t="s">
        <v>49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  <row r="36" customFormat="false" ht="25.5" hidden="false" customHeight="true" outlineLevel="0" collapsed="false">
      <c r="B36" s="3" t="s">
        <v>50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customFormat="false" ht="15" hidden="false" customHeight="true" outlineLevel="0" collapsed="false">
      <c r="B37" s="4" t="s">
        <v>51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6.5" hidden="false" customHeight="true" outlineLevel="0" collapsed="false">
      <c r="B38" s="6" t="s">
        <v>52</v>
      </c>
      <c r="C38" s="6"/>
      <c r="D38" s="6"/>
      <c r="E38" s="6" t="s">
        <v>53</v>
      </c>
      <c r="F38" s="6"/>
      <c r="G38" s="6"/>
      <c r="H38" s="6" t="s">
        <v>54</v>
      </c>
      <c r="I38" s="6"/>
      <c r="J38" s="6"/>
      <c r="K38" s="15" t="s">
        <v>55</v>
      </c>
      <c r="L38" s="15"/>
      <c r="M38" s="15"/>
    </row>
    <row r="39" customFormat="false" ht="33.75" hidden="false" customHeight="true" outlineLevel="0" collapsed="false">
      <c r="B39" s="33" t="n">
        <f aca="false">月次増減!C10</f>
        <v>12004</v>
      </c>
      <c r="C39" s="33"/>
      <c r="D39" s="33"/>
      <c r="E39" s="34" t="n">
        <f aca="false">月次増減!C6</f>
        <v>13842</v>
      </c>
      <c r="F39" s="34"/>
      <c r="G39" s="34"/>
      <c r="H39" s="34" t="n">
        <f aca="false">月次増減!C7</f>
        <v>462</v>
      </c>
      <c r="I39" s="34"/>
      <c r="J39" s="34"/>
      <c r="K39" s="35" t="n">
        <f aca="false">月次増減!C9</f>
        <v>-2300</v>
      </c>
      <c r="L39" s="35"/>
      <c r="M39" s="35"/>
    </row>
    <row r="40" customFormat="false" ht="24" hidden="false" customHeight="true" outlineLevel="0" collapsed="false">
      <c r="B40" s="20" t="s">
        <v>56</v>
      </c>
      <c r="C40" s="20"/>
      <c r="D40" s="20"/>
      <c r="E40" s="13" t="s">
        <v>57</v>
      </c>
      <c r="F40" s="13"/>
      <c r="G40" s="13"/>
      <c r="H40" s="13" t="s">
        <v>58</v>
      </c>
      <c r="I40" s="13"/>
      <c r="J40" s="13"/>
      <c r="K40" s="31" t="s">
        <v>59</v>
      </c>
      <c r="L40" s="31"/>
      <c r="M40" s="31"/>
    </row>
    <row r="42" customFormat="false" ht="16.5" hidden="false" customHeight="true" outlineLevel="0" collapsed="false">
      <c r="B42" s="6" t="s">
        <v>60</v>
      </c>
      <c r="C42" s="6"/>
      <c r="D42" s="6"/>
      <c r="E42" s="5" t="s">
        <v>61</v>
      </c>
      <c r="F42" s="5"/>
      <c r="G42" s="5"/>
      <c r="H42" s="7" t="s">
        <v>62</v>
      </c>
      <c r="I42" s="7"/>
      <c r="J42" s="7"/>
      <c r="K42" s="22" t="s">
        <v>63</v>
      </c>
      <c r="L42" s="22"/>
      <c r="M42" s="22"/>
    </row>
    <row r="43" customFormat="false" ht="33.75" hidden="false" customHeight="true" outlineLevel="0" collapsed="false">
      <c r="B43" s="34" t="n">
        <f aca="false">月次増減!C14</f>
        <v>11896</v>
      </c>
      <c r="C43" s="34"/>
      <c r="D43" s="34"/>
      <c r="E43" s="36" t="n">
        <f aca="false">月次増減!C15</f>
        <v>2391</v>
      </c>
      <c r="F43" s="36"/>
      <c r="G43" s="36"/>
      <c r="H43" s="10" t="n">
        <f aca="false">月次増減!C22</f>
        <v>17383</v>
      </c>
      <c r="I43" s="10"/>
      <c r="J43" s="10"/>
      <c r="K43" s="37" t="n">
        <v>10</v>
      </c>
      <c r="L43" s="37"/>
      <c r="M43" s="37"/>
    </row>
    <row r="44" customFormat="false" ht="24" hidden="false" customHeight="true" outlineLevel="0" collapsed="false">
      <c r="B44" s="20" t="s">
        <v>64</v>
      </c>
      <c r="C44" s="20"/>
      <c r="D44" s="20"/>
      <c r="E44" s="12" t="s">
        <v>65</v>
      </c>
      <c r="F44" s="12"/>
      <c r="G44" s="12"/>
      <c r="H44" s="20" t="s">
        <v>66</v>
      </c>
      <c r="I44" s="20"/>
      <c r="J44" s="20"/>
      <c r="K44" s="25" t="s">
        <v>67</v>
      </c>
      <c r="L44" s="25"/>
      <c r="M44" s="25"/>
    </row>
    <row r="46" customFormat="false" ht="21.75" hidden="false" customHeight="true" outlineLevel="0" collapsed="false">
      <c r="B46" s="38" t="s">
        <v>68</v>
      </c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</row>
    <row r="48" customFormat="false" ht="25.5" hidden="false" customHeight="true" outlineLevel="0" collapsed="false">
      <c r="B48" s="3" t="s">
        <v>69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customFormat="false" ht="15" hidden="false" customHeight="true" outlineLevel="0" collapsed="false">
      <c r="B49" s="2" t="s">
        <v>70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16.5" hidden="false" customHeight="true" outlineLevel="0" collapsed="false">
      <c r="B50" s="39" t="s">
        <v>71</v>
      </c>
      <c r="C50" s="39"/>
      <c r="D50" s="39"/>
      <c r="E50" s="39" t="s">
        <v>72</v>
      </c>
      <c r="F50" s="39"/>
      <c r="G50" s="39"/>
      <c r="H50" s="5" t="s">
        <v>73</v>
      </c>
      <c r="I50" s="5"/>
      <c r="J50" s="5"/>
      <c r="K50" s="5" t="s">
        <v>74</v>
      </c>
      <c r="L50" s="5"/>
      <c r="M50" s="5"/>
    </row>
    <row r="51" customFormat="false" ht="33.75" hidden="false" customHeight="true" outlineLevel="0" collapsed="false">
      <c r="B51" s="40" t="n">
        <v>0.373</v>
      </c>
      <c r="C51" s="40"/>
      <c r="D51" s="40"/>
      <c r="E51" s="41" t="n">
        <v>0</v>
      </c>
      <c r="F51" s="41"/>
      <c r="G51" s="41"/>
      <c r="H51" s="9" t="n">
        <f aca="false">月次!H12+前提!B10*E51</f>
        <v>183799</v>
      </c>
      <c r="I51" s="9"/>
      <c r="J51" s="9"/>
      <c r="K51" s="9" t="n">
        <f aca="false">H51*B51</f>
        <v>68557.027</v>
      </c>
      <c r="L51" s="9"/>
      <c r="M51" s="9"/>
    </row>
    <row r="52" customFormat="false" ht="24" hidden="false" customHeight="true" outlineLevel="0" collapsed="false">
      <c r="B52" s="42" t="s">
        <v>75</v>
      </c>
      <c r="C52" s="42"/>
      <c r="D52" s="42"/>
      <c r="E52" s="42" t="s">
        <v>76</v>
      </c>
      <c r="F52" s="42"/>
      <c r="G52" s="42"/>
      <c r="H52" s="12" t="s">
        <v>77</v>
      </c>
      <c r="I52" s="12"/>
      <c r="J52" s="12"/>
      <c r="K52" s="25" t="s">
        <v>78</v>
      </c>
      <c r="L52" s="25"/>
      <c r="M52" s="25"/>
    </row>
    <row r="54" customFormat="false" ht="16.5" hidden="false" customHeight="true" outlineLevel="0" collapsed="false">
      <c r="B54" s="5" t="s">
        <v>79</v>
      </c>
      <c r="C54" s="5"/>
      <c r="D54" s="5"/>
      <c r="E54" s="5" t="s">
        <v>80</v>
      </c>
      <c r="F54" s="5"/>
      <c r="G54" s="5"/>
      <c r="H54" s="15" t="s">
        <v>81</v>
      </c>
      <c r="I54" s="15"/>
      <c r="J54" s="15"/>
      <c r="K54" s="6" t="s">
        <v>82</v>
      </c>
      <c r="L54" s="6"/>
      <c r="M54" s="6"/>
    </row>
    <row r="55" customFormat="false" ht="33.75" hidden="false" customHeight="true" outlineLevel="0" collapsed="false">
      <c r="B55" s="24" t="n">
        <f aca="false">月次!H9+K51</f>
        <v>102407.027</v>
      </c>
      <c r="C55" s="24"/>
      <c r="D55" s="24"/>
      <c r="E55" s="28" t="n">
        <f aca="false">B55/前提!B7</f>
        <v>0.721618364772783</v>
      </c>
      <c r="F55" s="28"/>
      <c r="G55" s="28"/>
      <c r="H55" s="18" t="n">
        <f aca="false">B55-前提!B7</f>
        <v>-39505.973</v>
      </c>
      <c r="I55" s="18"/>
      <c r="J55" s="18"/>
      <c r="K55" s="34" t="n">
        <f aca="false">B55-月次!H15</f>
        <v>0</v>
      </c>
      <c r="L55" s="34"/>
      <c r="M55" s="34"/>
    </row>
    <row r="56" customFormat="false" ht="24" hidden="false" customHeight="true" outlineLevel="0" collapsed="false">
      <c r="B56" s="12" t="s">
        <v>83</v>
      </c>
      <c r="C56" s="12"/>
      <c r="D56" s="12"/>
      <c r="E56" s="25" t="s">
        <v>84</v>
      </c>
      <c r="F56" s="25"/>
      <c r="G56" s="25"/>
      <c r="H56" s="21" t="s">
        <v>85</v>
      </c>
      <c r="I56" s="21"/>
      <c r="J56" s="21"/>
      <c r="K56" s="13" t="s">
        <v>86</v>
      </c>
      <c r="L56" s="13"/>
      <c r="M56" s="13"/>
    </row>
  </sheetData>
  <mergeCells count="125">
    <mergeCell ref="B2:M2"/>
    <mergeCell ref="B3:M3"/>
    <mergeCell ref="B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1:M11"/>
    <mergeCell ref="B12:M12"/>
    <mergeCell ref="B13:D13"/>
    <mergeCell ref="E13:G13"/>
    <mergeCell ref="H13:J13"/>
    <mergeCell ref="K13:M13"/>
    <mergeCell ref="B14:D14"/>
    <mergeCell ref="E14:G14"/>
    <mergeCell ref="H14:J14"/>
    <mergeCell ref="K14:M14"/>
    <mergeCell ref="B15:D15"/>
    <mergeCell ref="E15:G15"/>
    <mergeCell ref="H15:J15"/>
    <mergeCell ref="K15:M15"/>
    <mergeCell ref="B17:M17"/>
    <mergeCell ref="B18:M18"/>
    <mergeCell ref="B19:D19"/>
    <mergeCell ref="E19:G19"/>
    <mergeCell ref="H19:J19"/>
    <mergeCell ref="K19:M19"/>
    <mergeCell ref="B20:D20"/>
    <mergeCell ref="E20:G20"/>
    <mergeCell ref="H20:J20"/>
    <mergeCell ref="K20:M20"/>
    <mergeCell ref="B21:D21"/>
    <mergeCell ref="E21:G21"/>
    <mergeCell ref="H21:J21"/>
    <mergeCell ref="K21:M21"/>
    <mergeCell ref="B22:M22"/>
    <mergeCell ref="B24:M24"/>
    <mergeCell ref="B25:M25"/>
    <mergeCell ref="B26:D26"/>
    <mergeCell ref="E26:G26"/>
    <mergeCell ref="H26:J26"/>
    <mergeCell ref="K26:M26"/>
    <mergeCell ref="B27:D27"/>
    <mergeCell ref="E27:G27"/>
    <mergeCell ref="H27:J27"/>
    <mergeCell ref="K27:M27"/>
    <mergeCell ref="B28:D28"/>
    <mergeCell ref="E28:G28"/>
    <mergeCell ref="H28:J28"/>
    <mergeCell ref="K28:M28"/>
    <mergeCell ref="B30:D30"/>
    <mergeCell ref="E30:G30"/>
    <mergeCell ref="H30:J30"/>
    <mergeCell ref="K30:M30"/>
    <mergeCell ref="B31:D31"/>
    <mergeCell ref="E31:G31"/>
    <mergeCell ref="H31:J31"/>
    <mergeCell ref="K31:M31"/>
    <mergeCell ref="B32:D32"/>
    <mergeCell ref="E32:G32"/>
    <mergeCell ref="H32:J32"/>
    <mergeCell ref="K32:M32"/>
    <mergeCell ref="B34:M34"/>
    <mergeCell ref="B36:M36"/>
    <mergeCell ref="B37:M37"/>
    <mergeCell ref="B38:D38"/>
    <mergeCell ref="E38:G38"/>
    <mergeCell ref="H38:J38"/>
    <mergeCell ref="K38:M38"/>
    <mergeCell ref="B39:D39"/>
    <mergeCell ref="E39:G39"/>
    <mergeCell ref="H39:J39"/>
    <mergeCell ref="K39:M39"/>
    <mergeCell ref="B40:D40"/>
    <mergeCell ref="E40:G40"/>
    <mergeCell ref="H40:J40"/>
    <mergeCell ref="K40:M40"/>
    <mergeCell ref="B42:D42"/>
    <mergeCell ref="E42:G42"/>
    <mergeCell ref="H42:J42"/>
    <mergeCell ref="K42:M42"/>
    <mergeCell ref="B43:D43"/>
    <mergeCell ref="E43:G43"/>
    <mergeCell ref="H43:J43"/>
    <mergeCell ref="K43:M43"/>
    <mergeCell ref="B44:D44"/>
    <mergeCell ref="E44:G44"/>
    <mergeCell ref="H44:J44"/>
    <mergeCell ref="K44:M44"/>
    <mergeCell ref="B46:M46"/>
    <mergeCell ref="B48:M48"/>
    <mergeCell ref="B49:M49"/>
    <mergeCell ref="B50:D50"/>
    <mergeCell ref="E50:G50"/>
    <mergeCell ref="H50:J50"/>
    <mergeCell ref="K50:M50"/>
    <mergeCell ref="B51:D51"/>
    <mergeCell ref="E51:G51"/>
    <mergeCell ref="H51:J51"/>
    <mergeCell ref="K51:M51"/>
    <mergeCell ref="B52:D52"/>
    <mergeCell ref="E52:G52"/>
    <mergeCell ref="H52:J52"/>
    <mergeCell ref="K52:M52"/>
    <mergeCell ref="B54:D54"/>
    <mergeCell ref="E54:G54"/>
    <mergeCell ref="H54:J54"/>
    <mergeCell ref="K54:M54"/>
    <mergeCell ref="B55:D55"/>
    <mergeCell ref="E55:G55"/>
    <mergeCell ref="H55:J55"/>
    <mergeCell ref="K55:M55"/>
    <mergeCell ref="B56:D56"/>
    <mergeCell ref="E56:G56"/>
    <mergeCell ref="H56:J56"/>
    <mergeCell ref="K56:M5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2" manualBreakCount="2">
    <brk id="23" man="true" max="16383" min="0"/>
    <brk id="35" man="true" max="16383" min="0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82"/>
  </cols>
  <sheetData>
    <row r="1" customFormat="false" ht="16.15" hidden="false" customHeight="false" outlineLevel="0" collapsed="false">
      <c r="A1" s="43" t="s">
        <v>87</v>
      </c>
    </row>
    <row r="2" customFormat="false" ht="15" hidden="false" customHeight="false" outlineLevel="0" collapsed="false">
      <c r="A2" s="44" t="s">
        <v>88</v>
      </c>
      <c r="B2" s="45" t="s">
        <v>89</v>
      </c>
    </row>
    <row r="3" customFormat="false" ht="15" hidden="false" customHeight="false" outlineLevel="0" collapsed="false">
      <c r="A3" s="44" t="s">
        <v>90</v>
      </c>
      <c r="B3" s="46" t="s">
        <v>91</v>
      </c>
    </row>
    <row r="4" customFormat="false" ht="15" hidden="false" customHeight="false" outlineLevel="0" collapsed="false">
      <c r="A4" s="44" t="s">
        <v>92</v>
      </c>
      <c r="B4" s="45" t="s">
        <v>93</v>
      </c>
    </row>
    <row r="6" customFormat="false" ht="15" hidden="false" customHeight="false" outlineLevel="0" collapsed="false">
      <c r="A6" s="44" t="s">
        <v>94</v>
      </c>
    </row>
    <row r="7" customFormat="false" ht="15" hidden="false" customHeight="false" outlineLevel="0" collapsed="false">
      <c r="A7" s="44" t="s">
        <v>95</v>
      </c>
      <c r="B7" s="47" t="n">
        <v>141913</v>
      </c>
      <c r="C7" s="48" t="s">
        <v>96</v>
      </c>
    </row>
    <row r="8" customFormat="false" ht="15" hidden="false" customHeight="false" outlineLevel="0" collapsed="false">
      <c r="A8" s="44" t="s">
        <v>97</v>
      </c>
      <c r="B8" s="49" t="n">
        <v>6</v>
      </c>
      <c r="C8" s="48" t="s">
        <v>98</v>
      </c>
    </row>
    <row r="9" customFormat="false" ht="15" hidden="false" customHeight="false" outlineLevel="0" collapsed="false">
      <c r="A9" s="50" t="s">
        <v>99</v>
      </c>
      <c r="B9" s="51" t="n">
        <v>0.373</v>
      </c>
      <c r="C9" s="52" t="s">
        <v>100</v>
      </c>
    </row>
    <row r="10" customFormat="false" ht="15" hidden="false" customHeight="false" outlineLevel="0" collapsed="false">
      <c r="A10" s="50" t="s">
        <v>101</v>
      </c>
      <c r="B10" s="49" t="n">
        <v>34</v>
      </c>
      <c r="C10" s="52" t="s">
        <v>102</v>
      </c>
    </row>
    <row r="11" customFormat="false" ht="15" hidden="false" customHeight="false" outlineLevel="0" collapsed="false">
      <c r="A11" s="44" t="s">
        <v>103</v>
      </c>
      <c r="B11" s="53" t="n">
        <v>1000</v>
      </c>
      <c r="C11" s="52" t="s">
        <v>104</v>
      </c>
    </row>
    <row r="12" customFormat="false" ht="15" hidden="false" customHeight="false" outlineLevel="0" collapsed="false">
      <c r="A12" s="44" t="s">
        <v>105</v>
      </c>
      <c r="B12" s="53" t="n">
        <v>2327</v>
      </c>
      <c r="C12" s="52" t="s">
        <v>106</v>
      </c>
    </row>
    <row r="14" customFormat="false" ht="15" hidden="false" customHeight="false" outlineLevel="0" collapsed="false">
      <c r="A14" s="44" t="s">
        <v>107</v>
      </c>
      <c r="B14" s="54" t="n">
        <f aca="false">B7/B8</f>
        <v>23652.1666666667</v>
      </c>
      <c r="C14" s="52" t="s">
        <v>108</v>
      </c>
    </row>
    <row r="17" customFormat="false" ht="15" hidden="false" customHeight="false" outlineLevel="0" collapsed="false">
      <c r="A17" s="44" t="s">
        <v>109</v>
      </c>
    </row>
    <row r="18" customFormat="false" ht="15" hidden="false" customHeight="false" outlineLevel="0" collapsed="false">
      <c r="A18" s="55" t="s">
        <v>110</v>
      </c>
      <c r="B18" s="52" t="s">
        <v>111</v>
      </c>
    </row>
    <row r="19" customFormat="false" ht="15" hidden="false" customHeight="false" outlineLevel="0" collapsed="false">
      <c r="A19" s="56" t="s">
        <v>112</v>
      </c>
      <c r="B19" s="52" t="s">
        <v>113</v>
      </c>
    </row>
    <row r="20" customFormat="false" ht="15" hidden="false" customHeight="false" outlineLevel="0" collapsed="false">
      <c r="A20" s="57" t="s">
        <v>114</v>
      </c>
      <c r="B20" s="52" t="s">
        <v>115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3"/>
  </cols>
  <sheetData>
    <row r="1" customFormat="false" ht="17.15" hidden="false" customHeight="false" outlineLevel="0" collapsed="false">
      <c r="A1" s="43" t="s">
        <v>116</v>
      </c>
    </row>
    <row r="2" customFormat="false" ht="15" hidden="false" customHeight="false" outlineLevel="0" collapsed="false">
      <c r="A2" s="52" t="s">
        <v>117</v>
      </c>
    </row>
    <row r="4" customFormat="false" ht="15" hidden="false" customHeight="false" outlineLevel="0" collapsed="false">
      <c r="A4" s="58" t="s">
        <v>118</v>
      </c>
      <c r="B4" s="59" t="s">
        <v>119</v>
      </c>
      <c r="C4" s="59" t="s">
        <v>120</v>
      </c>
      <c r="D4" s="59" t="s">
        <v>121</v>
      </c>
      <c r="E4" s="59" t="s">
        <v>122</v>
      </c>
      <c r="F4" s="59" t="s">
        <v>123</v>
      </c>
      <c r="G4" s="59" t="s">
        <v>124</v>
      </c>
      <c r="H4" s="58" t="s">
        <v>125</v>
      </c>
    </row>
    <row r="5" customFormat="false" ht="15" hidden="false" customHeight="false" outlineLevel="0" collapsed="false">
      <c r="A5" s="60" t="s">
        <v>126</v>
      </c>
      <c r="B5" s="49" t="n">
        <v>32</v>
      </c>
      <c r="C5" s="49" t="n">
        <v>9</v>
      </c>
      <c r="D5" s="49" t="n">
        <v>32</v>
      </c>
      <c r="E5" s="49" t="n">
        <v>4</v>
      </c>
      <c r="F5" s="49" t="n">
        <v>5</v>
      </c>
      <c r="G5" s="49" t="n">
        <v>52</v>
      </c>
      <c r="H5" s="61" t="n">
        <f aca="false">SUM(B5:G5)</f>
        <v>134</v>
      </c>
    </row>
    <row r="6" customFormat="false" ht="15" hidden="false" customHeight="false" outlineLevel="0" collapsed="false">
      <c r="A6" s="60" t="s">
        <v>127</v>
      </c>
      <c r="B6" s="62" t="n">
        <f aca="false">前提!$B$7/前提!$B$8</f>
        <v>23652.1666666667</v>
      </c>
      <c r="C6" s="62" t="n">
        <f aca="false">前提!$B$7/前提!$B$8</f>
        <v>23652.1666666667</v>
      </c>
      <c r="D6" s="62" t="n">
        <f aca="false">前提!$B$7/前提!$B$8</f>
        <v>23652.1666666667</v>
      </c>
      <c r="E6" s="62" t="n">
        <f aca="false">前提!$B$7/前提!$B$8</f>
        <v>23652.1666666667</v>
      </c>
      <c r="F6" s="62" t="n">
        <f aca="false">前提!$B$7/前提!$B$8</f>
        <v>23652.1666666667</v>
      </c>
      <c r="G6" s="62" t="n">
        <f aca="false">前提!$B$7/前提!$B$8</f>
        <v>23652.1666666667</v>
      </c>
      <c r="H6" s="63" t="n">
        <f aca="false">SUM(B6:G6)</f>
        <v>141913</v>
      </c>
    </row>
    <row r="7" customFormat="false" ht="15" hidden="false" customHeight="false" outlineLevel="0" collapsed="false">
      <c r="A7" s="60" t="s">
        <v>128</v>
      </c>
      <c r="B7" s="53" t="n">
        <v>9471</v>
      </c>
      <c r="C7" s="53" t="n">
        <v>0</v>
      </c>
      <c r="D7" s="53" t="n">
        <v>3640</v>
      </c>
      <c r="E7" s="53" t="n">
        <v>0</v>
      </c>
      <c r="F7" s="53" t="n">
        <v>0</v>
      </c>
      <c r="G7" s="53" t="n">
        <v>0</v>
      </c>
      <c r="H7" s="63" t="n">
        <f aca="false">SUM(B7:G7)</f>
        <v>13111</v>
      </c>
    </row>
    <row r="8" customFormat="false" ht="15" hidden="false" customHeight="false" outlineLevel="0" collapsed="false">
      <c r="A8" s="64" t="s">
        <v>129</v>
      </c>
      <c r="B8" s="53" t="n">
        <v>10805</v>
      </c>
      <c r="C8" s="53" t="n">
        <v>3700</v>
      </c>
      <c r="D8" s="53" t="n">
        <v>5106</v>
      </c>
      <c r="E8" s="53" t="n">
        <v>0</v>
      </c>
      <c r="F8" s="53" t="n">
        <v>0</v>
      </c>
      <c r="G8" s="53" t="n">
        <v>1128</v>
      </c>
      <c r="H8" s="63" t="n">
        <f aca="false">SUM(B8:G8)</f>
        <v>20739</v>
      </c>
    </row>
    <row r="9" customFormat="false" ht="15" hidden="false" customHeight="false" outlineLevel="0" collapsed="false">
      <c r="A9" s="65" t="s">
        <v>130</v>
      </c>
      <c r="B9" s="66" t="n">
        <f aca="false">B7+B8</f>
        <v>20276</v>
      </c>
      <c r="C9" s="66" t="n">
        <f aca="false">C7+C8</f>
        <v>3700</v>
      </c>
      <c r="D9" s="66" t="n">
        <f aca="false">D7+D8</f>
        <v>8746</v>
      </c>
      <c r="E9" s="66" t="n">
        <f aca="false">E7+E8</f>
        <v>0</v>
      </c>
      <c r="F9" s="66" t="n">
        <f aca="false">F7+F8</f>
        <v>0</v>
      </c>
      <c r="G9" s="66" t="n">
        <f aca="false">G7+G8</f>
        <v>1128</v>
      </c>
      <c r="H9" s="66" t="n">
        <f aca="false">SUM(B9:G9)</f>
        <v>33850</v>
      </c>
    </row>
    <row r="10" customFormat="false" ht="15" hidden="false" customHeight="false" outlineLevel="0" collapsed="false">
      <c r="A10" s="67" t="s">
        <v>131</v>
      </c>
      <c r="B10" s="68" t="n">
        <f aca="false">IFERROR(B9/B6,"")</f>
        <v>0.857257615581377</v>
      </c>
      <c r="C10" s="68" t="n">
        <f aca="false">IFERROR(C9/C6,"")</f>
        <v>0.156433871456456</v>
      </c>
      <c r="D10" s="68" t="n">
        <f aca="false">IFERROR(D9/D6,"")</f>
        <v>0.369775848583287</v>
      </c>
      <c r="E10" s="68" t="n">
        <f aca="false">IFERROR(E9/E6,"")</f>
        <v>0</v>
      </c>
      <c r="F10" s="68" t="n">
        <f aca="false">IFERROR(F9/F6,"")</f>
        <v>0</v>
      </c>
      <c r="G10" s="68" t="n">
        <f aca="false">IFERROR(G9/G6,"")</f>
        <v>0.04769119108186</v>
      </c>
      <c r="H10" s="68" t="n">
        <f aca="false">IFERROR(H9/H6,"")</f>
        <v>0.238526421117163</v>
      </c>
    </row>
    <row r="11" customFormat="false" ht="15" hidden="false" customHeight="false" outlineLevel="0" collapsed="false">
      <c r="A11" s="60" t="s">
        <v>132</v>
      </c>
      <c r="B11" s="62" t="n">
        <f aca="false">B6-B9</f>
        <v>3376.16666666667</v>
      </c>
      <c r="C11" s="62" t="n">
        <f aca="false">C6-C9</f>
        <v>19952.1666666667</v>
      </c>
      <c r="D11" s="62" t="n">
        <f aca="false">D6-D9</f>
        <v>14906.1666666667</v>
      </c>
      <c r="E11" s="62" t="n">
        <f aca="false">E6-E9</f>
        <v>23652.1666666667</v>
      </c>
      <c r="F11" s="62" t="n">
        <f aca="false">F6-F9</f>
        <v>23652.1666666667</v>
      </c>
      <c r="G11" s="62" t="n">
        <f aca="false">G6-G9</f>
        <v>22524.1666666667</v>
      </c>
      <c r="H11" s="63" t="n">
        <f aca="false">SUM(B11:G11)</f>
        <v>108063</v>
      </c>
    </row>
    <row r="12" customFormat="false" ht="15" hidden="false" customHeight="false" outlineLevel="0" collapsed="false">
      <c r="A12" s="64" t="s">
        <v>133</v>
      </c>
      <c r="B12" s="53" t="n">
        <v>16847</v>
      </c>
      <c r="C12" s="53" t="n">
        <v>6120</v>
      </c>
      <c r="D12" s="53" t="n">
        <v>35500</v>
      </c>
      <c r="E12" s="53" t="n">
        <v>3708</v>
      </c>
      <c r="F12" s="53" t="n">
        <v>2950</v>
      </c>
      <c r="G12" s="53" t="n">
        <v>118674</v>
      </c>
      <c r="H12" s="63" t="n">
        <f aca="false">SUM(B12:G12)</f>
        <v>183799</v>
      </c>
    </row>
    <row r="13" customFormat="false" ht="15" hidden="false" customHeight="false" outlineLevel="0" collapsed="false">
      <c r="A13" s="69" t="s">
        <v>134</v>
      </c>
      <c r="B13" s="70" t="n">
        <f aca="false">IFERROR(B11/B12,"")</f>
        <v>0.20040165410261</v>
      </c>
      <c r="C13" s="70" t="n">
        <f aca="false">IFERROR(C11/C12,"")</f>
        <v>3.26015795206972</v>
      </c>
      <c r="D13" s="70" t="n">
        <f aca="false">IFERROR(D11/D12,"")</f>
        <v>0.419892018779343</v>
      </c>
      <c r="E13" s="70" t="n">
        <f aca="false">IFERROR(E11/E12,"")</f>
        <v>6.37868572455951</v>
      </c>
      <c r="F13" s="70" t="n">
        <f aca="false">IFERROR(F11/F12,"")</f>
        <v>8.01768361581921</v>
      </c>
      <c r="G13" s="70" t="n">
        <f aca="false">IFERROR(G11/G12,"")</f>
        <v>0.189798664127498</v>
      </c>
      <c r="H13" s="70" t="n">
        <f aca="false">IFERROR(H11/H12,"")</f>
        <v>0.587941174870375</v>
      </c>
    </row>
    <row r="14" customFormat="false" ht="15" hidden="false" customHeight="false" outlineLevel="0" collapsed="false">
      <c r="A14" s="64" t="s">
        <v>135</v>
      </c>
      <c r="B14" s="62" t="n">
        <f aca="false">B12*前提!$B$9</f>
        <v>6283.931</v>
      </c>
      <c r="C14" s="62" t="n">
        <f aca="false">C12*前提!$B$9</f>
        <v>2282.76</v>
      </c>
      <c r="D14" s="62" t="n">
        <f aca="false">D12*前提!$B$9</f>
        <v>13241.5</v>
      </c>
      <c r="E14" s="62" t="n">
        <f aca="false">E12*前提!$B$9</f>
        <v>1383.084</v>
      </c>
      <c r="F14" s="62" t="n">
        <f aca="false">F12*前提!$B$9</f>
        <v>1100.35</v>
      </c>
      <c r="G14" s="62" t="n">
        <f aca="false">G12*前提!$B$9</f>
        <v>44265.402</v>
      </c>
      <c r="H14" s="63" t="n">
        <f aca="false">SUM(B14:G14)</f>
        <v>68557.027</v>
      </c>
    </row>
    <row r="15" customFormat="false" ht="15" hidden="false" customHeight="false" outlineLevel="0" collapsed="false">
      <c r="A15" s="67" t="s">
        <v>136</v>
      </c>
      <c r="B15" s="66" t="n">
        <f aca="false">B9+B14</f>
        <v>26559.931</v>
      </c>
      <c r="C15" s="66" t="n">
        <f aca="false">C9+C14</f>
        <v>5982.76</v>
      </c>
      <c r="D15" s="66" t="n">
        <f aca="false">D9+D14</f>
        <v>21987.5</v>
      </c>
      <c r="E15" s="66" t="n">
        <f aca="false">E9+E14</f>
        <v>1383.084</v>
      </c>
      <c r="F15" s="66" t="n">
        <f aca="false">F9+F14</f>
        <v>1100.35</v>
      </c>
      <c r="G15" s="66" t="n">
        <f aca="false">G9+G14</f>
        <v>45393.402</v>
      </c>
      <c r="H15" s="66" t="n">
        <f aca="false">SUM(B15:G15)</f>
        <v>102407.027</v>
      </c>
    </row>
    <row r="16" customFormat="false" ht="15" hidden="false" customHeight="false" outlineLevel="0" collapsed="false">
      <c r="A16" s="67" t="s">
        <v>137</v>
      </c>
      <c r="B16" s="68" t="n">
        <f aca="false">IFERROR(B15/B6,"")</f>
        <v>1.12293860322874</v>
      </c>
      <c r="C16" s="68" t="n">
        <f aca="false">IFERROR(C15/C6,"")</f>
        <v>0.252947651025628</v>
      </c>
      <c r="D16" s="68" t="n">
        <f aca="false">IFERROR(D15/D6,"")</f>
        <v>0.929618850986168</v>
      </c>
      <c r="E16" s="68" t="n">
        <f aca="false">IFERROR(E15/E6,"")</f>
        <v>0.0584759958566164</v>
      </c>
      <c r="F16" s="68" t="n">
        <f aca="false">IFERROR(F15/F6,"")</f>
        <v>0.0465221649884084</v>
      </c>
      <c r="G16" s="68" t="n">
        <f aca="false">IFERROR(G15/G6,"")</f>
        <v>1.91920692255114</v>
      </c>
      <c r="H16" s="68" t="n">
        <f aca="false">IFERROR(H15/H6,"")</f>
        <v>0.721618364772783</v>
      </c>
    </row>
    <row r="17" customFormat="false" ht="15" hidden="false" customHeight="false" outlineLevel="0" collapsed="false">
      <c r="A17" s="69" t="s">
        <v>138</v>
      </c>
      <c r="B17" s="63" t="n">
        <f aca="false">B15-B6</f>
        <v>2907.76433333333</v>
      </c>
      <c r="C17" s="63" t="n">
        <f aca="false">C15-C6</f>
        <v>-17669.4066666667</v>
      </c>
      <c r="D17" s="63" t="n">
        <f aca="false">D15-D6</f>
        <v>-1664.66666666667</v>
      </c>
      <c r="E17" s="63" t="n">
        <f aca="false">E15-E6</f>
        <v>-22269.0826666667</v>
      </c>
      <c r="F17" s="63" t="n">
        <f aca="false">F15-F6</f>
        <v>-22551.8166666667</v>
      </c>
      <c r="G17" s="63" t="n">
        <f aca="false">G15-G6</f>
        <v>21741.2353333333</v>
      </c>
      <c r="H17" s="63" t="n">
        <f aca="false">SUM(B17:G17)</f>
        <v>-39505.973</v>
      </c>
    </row>
    <row r="19" customFormat="false" ht="15" hidden="false" customHeight="false" outlineLevel="0" collapsed="false">
      <c r="A19" s="60" t="s">
        <v>139</v>
      </c>
      <c r="B19" s="49" t="n">
        <v>6</v>
      </c>
      <c r="C19" s="49" t="n">
        <v>3</v>
      </c>
      <c r="D19" s="49" t="n">
        <v>6</v>
      </c>
      <c r="E19" s="49" t="n">
        <v>1</v>
      </c>
      <c r="F19" s="49" t="n">
        <v>2</v>
      </c>
      <c r="G19" s="49" t="n">
        <v>17</v>
      </c>
      <c r="H19" s="61" t="n">
        <f aca="false">SUM(B19:G19)</f>
        <v>35</v>
      </c>
    </row>
    <row r="20" customFormat="false" ht="15" hidden="false" customHeight="false" outlineLevel="0" collapsed="false">
      <c r="A20" s="60" t="s">
        <v>140</v>
      </c>
      <c r="B20" s="53" t="n">
        <v>0</v>
      </c>
      <c r="C20" s="53" t="n">
        <v>0</v>
      </c>
      <c r="D20" s="53" t="n">
        <v>0</v>
      </c>
      <c r="E20" s="53" t="n">
        <v>0</v>
      </c>
      <c r="F20" s="53" t="n">
        <v>0</v>
      </c>
      <c r="G20" s="53" t="n">
        <v>300</v>
      </c>
      <c r="H20" s="63" t="n">
        <f aca="false">SUM(B20:G20)</f>
        <v>300</v>
      </c>
    </row>
    <row r="22" customFormat="false" ht="15" hidden="false" customHeight="false" outlineLevel="0" collapsed="false">
      <c r="A22" s="52" t="s">
        <v>141</v>
      </c>
    </row>
    <row r="23" customFormat="false" ht="15" hidden="false" customHeight="false" outlineLevel="0" collapsed="false">
      <c r="A23" s="52" t="s">
        <v>142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44"/>
  </cols>
  <sheetData>
    <row r="1" customFormat="false" ht="17.15" hidden="false" customHeight="false" outlineLevel="0" collapsed="false">
      <c r="A1" s="71" t="s">
        <v>143</v>
      </c>
    </row>
    <row r="2" customFormat="false" ht="15" hidden="false" customHeight="false" outlineLevel="0" collapsed="false">
      <c r="A2" s="48" t="s">
        <v>144</v>
      </c>
    </row>
    <row r="4" customFormat="false" ht="15" hidden="false" customHeight="false" outlineLevel="0" collapsed="false">
      <c r="A4" s="44" t="s">
        <v>145</v>
      </c>
    </row>
    <row r="5" customFormat="false" ht="15" hidden="false" customHeight="false" outlineLevel="0" collapsed="false">
      <c r="A5" s="58" t="s">
        <v>146</v>
      </c>
      <c r="B5" s="58"/>
      <c r="C5" s="59" t="s">
        <v>147</v>
      </c>
      <c r="D5" s="58" t="s">
        <v>148</v>
      </c>
      <c r="E5" s="58" t="s">
        <v>149</v>
      </c>
    </row>
    <row r="6" customFormat="false" ht="15" hidden="false" customHeight="false" outlineLevel="0" collapsed="false">
      <c r="A6" s="60" t="s">
        <v>150</v>
      </c>
      <c r="B6" s="60"/>
      <c r="C6" s="72" t="n">
        <v>13842</v>
      </c>
      <c r="D6" s="72" t="n">
        <v>13815</v>
      </c>
      <c r="E6" s="60" t="s">
        <v>151</v>
      </c>
    </row>
    <row r="7" customFormat="false" ht="15" hidden="false" customHeight="false" outlineLevel="0" collapsed="false">
      <c r="A7" s="60" t="s">
        <v>54</v>
      </c>
      <c r="B7" s="60"/>
      <c r="C7" s="72" t="n">
        <v>462</v>
      </c>
      <c r="D7" s="72" t="n">
        <v>462</v>
      </c>
      <c r="E7" s="60" t="s">
        <v>152</v>
      </c>
    </row>
    <row r="8" customFormat="false" ht="15" hidden="false" customHeight="false" outlineLevel="0" collapsed="false">
      <c r="A8" s="64" t="s">
        <v>153</v>
      </c>
      <c r="B8" s="60"/>
      <c r="C8" s="72" t="n">
        <v>0</v>
      </c>
      <c r="D8" s="72" t="n">
        <v>16000</v>
      </c>
      <c r="E8" s="60" t="s">
        <v>154</v>
      </c>
    </row>
    <row r="9" customFormat="false" ht="15" hidden="false" customHeight="false" outlineLevel="0" collapsed="false">
      <c r="A9" s="60" t="s">
        <v>55</v>
      </c>
      <c r="B9" s="60"/>
      <c r="C9" s="72" t="n">
        <v>-2300</v>
      </c>
      <c r="D9" s="72" t="n">
        <v>-2500</v>
      </c>
      <c r="E9" s="64" t="s">
        <v>155</v>
      </c>
    </row>
    <row r="10" customFormat="false" ht="15" hidden="false" customHeight="false" outlineLevel="0" collapsed="false">
      <c r="A10" s="67" t="s">
        <v>156</v>
      </c>
      <c r="B10" s="67"/>
      <c r="C10" s="73" t="n">
        <f aca="false">SUM(C6:C9)</f>
        <v>12004</v>
      </c>
      <c r="D10" s="73" t="n">
        <f aca="false">SUM(D6:D9)</f>
        <v>27777</v>
      </c>
      <c r="E10" s="67"/>
    </row>
    <row r="12" customFormat="false" ht="15" hidden="false" customHeight="false" outlineLevel="0" collapsed="false">
      <c r="A12" s="44" t="s">
        <v>157</v>
      </c>
    </row>
    <row r="13" customFormat="false" ht="15" hidden="false" customHeight="false" outlineLevel="0" collapsed="false">
      <c r="A13" s="58" t="s">
        <v>158</v>
      </c>
      <c r="B13" s="58" t="s">
        <v>159</v>
      </c>
      <c r="C13" s="59" t="s">
        <v>147</v>
      </c>
      <c r="D13" s="58"/>
      <c r="E13" s="58" t="s">
        <v>149</v>
      </c>
    </row>
    <row r="14" customFormat="false" ht="15" hidden="false" customHeight="false" outlineLevel="0" collapsed="false">
      <c r="A14" s="60" t="s">
        <v>160</v>
      </c>
      <c r="B14" s="74" t="n">
        <v>6</v>
      </c>
      <c r="C14" s="72" t="n">
        <v>11896</v>
      </c>
      <c r="D14" s="60"/>
      <c r="E14" s="60" t="s">
        <v>161</v>
      </c>
    </row>
    <row r="15" customFormat="false" ht="15" hidden="false" customHeight="false" outlineLevel="0" collapsed="false">
      <c r="A15" s="60" t="s">
        <v>162</v>
      </c>
      <c r="B15" s="74" t="n">
        <v>12</v>
      </c>
      <c r="C15" s="72" t="n">
        <v>2391</v>
      </c>
      <c r="D15" s="60"/>
      <c r="E15" s="60" t="s">
        <v>163</v>
      </c>
    </row>
    <row r="16" customFormat="false" ht="15" hidden="false" customHeight="false" outlineLevel="0" collapsed="false">
      <c r="A16" s="60" t="s">
        <v>164</v>
      </c>
      <c r="B16" s="74" t="n">
        <v>1</v>
      </c>
      <c r="C16" s="72" t="n">
        <v>220</v>
      </c>
      <c r="D16" s="60"/>
      <c r="E16" s="60" t="s">
        <v>165</v>
      </c>
    </row>
    <row r="17" customFormat="false" ht="15" hidden="false" customHeight="false" outlineLevel="0" collapsed="false">
      <c r="A17" s="60" t="s">
        <v>166</v>
      </c>
      <c r="B17" s="74" t="n">
        <v>1</v>
      </c>
      <c r="C17" s="72" t="n">
        <v>47</v>
      </c>
      <c r="D17" s="60"/>
      <c r="E17" s="60" t="s">
        <v>167</v>
      </c>
    </row>
    <row r="18" customFormat="false" ht="15" hidden="false" customHeight="false" outlineLevel="0" collapsed="false">
      <c r="A18" s="60" t="s">
        <v>168</v>
      </c>
      <c r="B18" s="74" t="n">
        <v>2</v>
      </c>
      <c r="C18" s="72" t="n">
        <v>-50</v>
      </c>
      <c r="D18" s="60"/>
      <c r="E18" s="60"/>
    </row>
    <row r="19" customFormat="false" ht="15" hidden="false" customHeight="false" outlineLevel="0" collapsed="false">
      <c r="A19" s="60" t="s">
        <v>169</v>
      </c>
      <c r="B19" s="74" t="n">
        <v>1</v>
      </c>
      <c r="C19" s="72" t="n">
        <v>-2500</v>
      </c>
      <c r="D19" s="60"/>
      <c r="E19" s="64" t="s">
        <v>170</v>
      </c>
    </row>
    <row r="20" customFormat="false" ht="15" hidden="false" customHeight="false" outlineLevel="0" collapsed="false">
      <c r="A20" s="67" t="s">
        <v>171</v>
      </c>
      <c r="B20" s="75" t="n">
        <f aca="false">SUM(B14:B19)</f>
        <v>23</v>
      </c>
      <c r="C20" s="73" t="n">
        <f aca="false">SUM(C14:C19)</f>
        <v>12004</v>
      </c>
      <c r="D20" s="67"/>
      <c r="E20" s="67"/>
    </row>
    <row r="21" customFormat="false" ht="15" hidden="false" customHeight="false" outlineLevel="0" collapsed="false">
      <c r="A21" s="58" t="s">
        <v>118</v>
      </c>
      <c r="B21" s="58" t="s">
        <v>159</v>
      </c>
      <c r="C21" s="58" t="s">
        <v>172</v>
      </c>
      <c r="D21" s="58"/>
      <c r="E21" s="58" t="s">
        <v>149</v>
      </c>
    </row>
    <row r="22" customFormat="false" ht="15" hidden="false" customHeight="false" outlineLevel="0" collapsed="false">
      <c r="A22" s="64" t="s">
        <v>173</v>
      </c>
      <c r="B22" s="74" t="n">
        <v>14</v>
      </c>
      <c r="C22" s="62" t="n">
        <v>17383</v>
      </c>
      <c r="D22" s="60"/>
      <c r="E22" s="60" t="s">
        <v>174</v>
      </c>
    </row>
    <row r="23" customFormat="false" ht="15" hidden="false" customHeight="false" outlineLevel="0" collapsed="false">
      <c r="A23" s="64" t="s">
        <v>175</v>
      </c>
      <c r="B23" s="74" t="n">
        <v>38</v>
      </c>
      <c r="C23" s="62" t="n">
        <v>9345</v>
      </c>
      <c r="D23" s="60"/>
      <c r="E23" s="60" t="s">
        <v>176</v>
      </c>
    </row>
    <row r="24" customFormat="false" ht="15" hidden="false" customHeight="false" outlineLevel="0" collapsed="false">
      <c r="A24" s="64" t="s">
        <v>177</v>
      </c>
      <c r="B24" s="74" t="n">
        <v>10</v>
      </c>
      <c r="C24" s="62" t="n">
        <v>-5597</v>
      </c>
      <c r="D24" s="60"/>
      <c r="E24" s="60" t="s">
        <v>178</v>
      </c>
    </row>
    <row r="26" customFormat="false" ht="15" hidden="false" customHeight="false" outlineLevel="0" collapsed="false">
      <c r="A26" s="44" t="s">
        <v>179</v>
      </c>
    </row>
    <row r="27" customFormat="false" ht="15" hidden="false" customHeight="false" outlineLevel="0" collapsed="false">
      <c r="A27" s="58" t="s">
        <v>146</v>
      </c>
      <c r="B27" s="58" t="s">
        <v>180</v>
      </c>
      <c r="C27" s="59" t="s">
        <v>147</v>
      </c>
      <c r="D27" s="58" t="s">
        <v>181</v>
      </c>
      <c r="E27" s="58" t="s">
        <v>149</v>
      </c>
    </row>
    <row r="28" customFormat="false" ht="15" hidden="false" customHeight="false" outlineLevel="0" collapsed="false">
      <c r="A28" s="60" t="s">
        <v>150</v>
      </c>
      <c r="B28" s="60" t="s">
        <v>182</v>
      </c>
      <c r="C28" s="72" t="n">
        <v>7616</v>
      </c>
      <c r="D28" s="60" t="s">
        <v>183</v>
      </c>
      <c r="E28" s="60"/>
    </row>
    <row r="29" customFormat="false" ht="15" hidden="false" customHeight="false" outlineLevel="0" collapsed="false">
      <c r="A29" s="60" t="s">
        <v>150</v>
      </c>
      <c r="B29" s="60" t="s">
        <v>184</v>
      </c>
      <c r="C29" s="72" t="n">
        <v>3000</v>
      </c>
      <c r="D29" s="60" t="s">
        <v>185</v>
      </c>
      <c r="E29" s="60"/>
    </row>
    <row r="30" customFormat="false" ht="15" hidden="false" customHeight="false" outlineLevel="0" collapsed="false">
      <c r="A30" s="60" t="s">
        <v>150</v>
      </c>
      <c r="B30" s="64" t="s">
        <v>186</v>
      </c>
      <c r="C30" s="72" t="n">
        <v>1128</v>
      </c>
      <c r="D30" s="60" t="s">
        <v>187</v>
      </c>
      <c r="E30" s="60"/>
    </row>
    <row r="31" customFormat="false" ht="15" hidden="false" customHeight="false" outlineLevel="0" collapsed="false">
      <c r="A31" s="60" t="s">
        <v>150</v>
      </c>
      <c r="B31" s="60" t="s">
        <v>188</v>
      </c>
      <c r="C31" s="72" t="n">
        <v>500</v>
      </c>
      <c r="D31" s="60" t="s">
        <v>189</v>
      </c>
      <c r="E31" s="60"/>
    </row>
    <row r="32" customFormat="false" ht="15" hidden="false" customHeight="false" outlineLevel="0" collapsed="false">
      <c r="A32" s="60" t="s">
        <v>54</v>
      </c>
      <c r="B32" s="60" t="s">
        <v>190</v>
      </c>
      <c r="C32" s="72" t="n">
        <v>462</v>
      </c>
      <c r="D32" s="60" t="s">
        <v>187</v>
      </c>
      <c r="E32" s="60"/>
    </row>
    <row r="33" customFormat="false" ht="15" hidden="false" customHeight="false" outlineLevel="0" collapsed="false">
      <c r="A33" s="60" t="s">
        <v>150</v>
      </c>
      <c r="B33" s="64" t="s">
        <v>191</v>
      </c>
      <c r="C33" s="72" t="n">
        <v>430</v>
      </c>
      <c r="D33" s="60" t="s">
        <v>192</v>
      </c>
      <c r="E33" s="60"/>
    </row>
    <row r="34" customFormat="false" ht="15" hidden="false" customHeight="false" outlineLevel="0" collapsed="false">
      <c r="A34" s="60" t="s">
        <v>150</v>
      </c>
      <c r="B34" s="60" t="s">
        <v>165</v>
      </c>
      <c r="C34" s="72" t="n">
        <v>220</v>
      </c>
      <c r="D34" s="60" t="s">
        <v>193</v>
      </c>
      <c r="E34" s="60"/>
    </row>
    <row r="35" customFormat="false" ht="15" hidden="false" customHeight="false" outlineLevel="0" collapsed="false">
      <c r="A35" s="60" t="s">
        <v>55</v>
      </c>
      <c r="B35" s="60" t="s">
        <v>194</v>
      </c>
      <c r="C35" s="72" t="n">
        <v>200</v>
      </c>
      <c r="D35" s="60" t="s">
        <v>195</v>
      </c>
      <c r="E35" s="60"/>
    </row>
    <row r="36" customFormat="false" ht="15" hidden="false" customHeight="false" outlineLevel="0" collapsed="false">
      <c r="A36" s="60" t="s">
        <v>150</v>
      </c>
      <c r="B36" s="60" t="s">
        <v>196</v>
      </c>
      <c r="C36" s="72" t="n">
        <v>173</v>
      </c>
      <c r="D36" s="60" t="s">
        <v>187</v>
      </c>
      <c r="E36" s="60"/>
    </row>
    <row r="37" customFormat="false" ht="15" hidden="false" customHeight="false" outlineLevel="0" collapsed="false">
      <c r="A37" s="60" t="s">
        <v>150</v>
      </c>
      <c r="B37" s="60" t="s">
        <v>197</v>
      </c>
      <c r="C37" s="72" t="n">
        <v>150</v>
      </c>
      <c r="D37" s="60" t="s">
        <v>183</v>
      </c>
      <c r="E37" s="60"/>
    </row>
    <row r="38" customFormat="false" ht="15" hidden="false" customHeight="false" outlineLevel="0" collapsed="false">
      <c r="A38" s="60" t="s">
        <v>150</v>
      </c>
      <c r="B38" s="60" t="s">
        <v>198</v>
      </c>
      <c r="C38" s="72" t="n">
        <v>149</v>
      </c>
      <c r="D38" s="60" t="s">
        <v>187</v>
      </c>
      <c r="E38" s="60"/>
    </row>
    <row r="39" customFormat="false" ht="15" hidden="false" customHeight="false" outlineLevel="0" collapsed="false">
      <c r="A39" s="60" t="s">
        <v>150</v>
      </c>
      <c r="B39" s="60" t="s">
        <v>199</v>
      </c>
      <c r="C39" s="72" t="n">
        <v>120</v>
      </c>
      <c r="D39" s="60" t="s">
        <v>187</v>
      </c>
      <c r="E39" s="60"/>
    </row>
    <row r="40" customFormat="false" ht="15" hidden="false" customHeight="false" outlineLevel="0" collapsed="false">
      <c r="A40" s="60" t="s">
        <v>150</v>
      </c>
      <c r="B40" s="60" t="s">
        <v>200</v>
      </c>
      <c r="C40" s="72" t="n">
        <v>98</v>
      </c>
      <c r="D40" s="60" t="s">
        <v>187</v>
      </c>
      <c r="E40" s="60"/>
    </row>
    <row r="41" customFormat="false" ht="15" hidden="false" customHeight="false" outlineLevel="0" collapsed="false">
      <c r="A41" s="60" t="s">
        <v>150</v>
      </c>
      <c r="B41" s="60" t="s">
        <v>201</v>
      </c>
      <c r="C41" s="72" t="n">
        <v>62</v>
      </c>
      <c r="D41" s="60" t="s">
        <v>187</v>
      </c>
      <c r="E41" s="60"/>
    </row>
    <row r="42" customFormat="false" ht="15" hidden="false" customHeight="false" outlineLevel="0" collapsed="false">
      <c r="A42" s="60" t="s">
        <v>150</v>
      </c>
      <c r="B42" s="60" t="s">
        <v>202</v>
      </c>
      <c r="C42" s="72" t="n">
        <v>62</v>
      </c>
      <c r="D42" s="60" t="s">
        <v>187</v>
      </c>
      <c r="E42" s="60"/>
    </row>
    <row r="43" customFormat="false" ht="15" hidden="false" customHeight="false" outlineLevel="0" collapsed="false">
      <c r="A43" s="60" t="s">
        <v>150</v>
      </c>
      <c r="B43" s="60" t="s">
        <v>203</v>
      </c>
      <c r="C43" s="72" t="n">
        <v>50</v>
      </c>
      <c r="D43" s="60" t="s">
        <v>187</v>
      </c>
      <c r="E43" s="60"/>
    </row>
    <row r="44" customFormat="false" ht="15" hidden="false" customHeight="false" outlineLevel="0" collapsed="false">
      <c r="A44" s="60" t="s">
        <v>150</v>
      </c>
      <c r="B44" s="60" t="s">
        <v>167</v>
      </c>
      <c r="C44" s="72" t="n">
        <v>46</v>
      </c>
      <c r="D44" s="60" t="s">
        <v>166</v>
      </c>
      <c r="E44" s="60"/>
    </row>
    <row r="45" customFormat="false" ht="15" hidden="false" customHeight="false" outlineLevel="0" collapsed="false">
      <c r="A45" s="60" t="s">
        <v>150</v>
      </c>
      <c r="B45" s="60" t="s">
        <v>204</v>
      </c>
      <c r="C45" s="72" t="n">
        <v>38</v>
      </c>
      <c r="D45" s="60" t="s">
        <v>187</v>
      </c>
      <c r="E45" s="60"/>
    </row>
    <row r="46" customFormat="false" ht="15" hidden="false" customHeight="false" outlineLevel="0" collapsed="false">
      <c r="A46" s="60" t="s">
        <v>150</v>
      </c>
      <c r="B46" s="64" t="s">
        <v>205</v>
      </c>
      <c r="C46" s="72" t="n">
        <v>37</v>
      </c>
      <c r="D46" s="60" t="s">
        <v>187</v>
      </c>
      <c r="E46" s="60"/>
    </row>
    <row r="47" customFormat="false" ht="15" hidden="false" customHeight="false" outlineLevel="0" collapsed="false">
      <c r="A47" s="60" t="s">
        <v>150</v>
      </c>
      <c r="B47" s="60" t="s">
        <v>206</v>
      </c>
      <c r="C47" s="72" t="n">
        <v>12</v>
      </c>
      <c r="D47" s="60" t="s">
        <v>187</v>
      </c>
      <c r="E47" s="60"/>
    </row>
    <row r="48" customFormat="false" ht="15" hidden="false" customHeight="false" outlineLevel="0" collapsed="false">
      <c r="A48" s="60" t="s">
        <v>55</v>
      </c>
      <c r="B48" s="60" t="s">
        <v>207</v>
      </c>
      <c r="C48" s="72" t="n">
        <v>0</v>
      </c>
      <c r="D48" s="60" t="s">
        <v>168</v>
      </c>
      <c r="E48" s="60"/>
    </row>
    <row r="49" customFormat="false" ht="15" hidden="false" customHeight="false" outlineLevel="0" collapsed="false">
      <c r="A49" s="60" t="s">
        <v>150</v>
      </c>
      <c r="B49" s="64" t="s">
        <v>208</v>
      </c>
      <c r="C49" s="72" t="n">
        <v>-50</v>
      </c>
      <c r="D49" s="60" t="s">
        <v>168</v>
      </c>
      <c r="E49" s="60"/>
    </row>
    <row r="50" customFormat="false" ht="15" hidden="false" customHeight="false" outlineLevel="0" collapsed="false">
      <c r="A50" s="60" t="s">
        <v>55</v>
      </c>
      <c r="B50" s="64" t="s">
        <v>170</v>
      </c>
      <c r="C50" s="72" t="n">
        <v>-2500</v>
      </c>
      <c r="D50" s="60" t="s">
        <v>169</v>
      </c>
      <c r="E50" s="60"/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43" t="s">
        <v>209</v>
      </c>
    </row>
    <row r="3" customFormat="false" ht="15" hidden="false" customHeight="false" outlineLevel="0" collapsed="false">
      <c r="A3" s="76" t="s">
        <v>210</v>
      </c>
      <c r="B3" s="45"/>
    </row>
    <row r="4" customFormat="false" ht="15" hidden="false" customHeight="false" outlineLevel="0" collapsed="false">
      <c r="A4" s="77" t="s">
        <v>211</v>
      </c>
      <c r="B4" s="45" t="s">
        <v>212</v>
      </c>
    </row>
    <row r="5" customFormat="false" ht="15" hidden="false" customHeight="false" outlineLevel="0" collapsed="false">
      <c r="A5" s="77" t="s">
        <v>213</v>
      </c>
      <c r="B5" s="45" t="s">
        <v>214</v>
      </c>
    </row>
    <row r="6" customFormat="false" ht="15" hidden="false" customHeight="false" outlineLevel="0" collapsed="false">
      <c r="A6" s="77" t="s">
        <v>215</v>
      </c>
      <c r="B6" s="45" t="s">
        <v>216</v>
      </c>
    </row>
    <row r="7" customFormat="false" ht="15" hidden="false" customHeight="false" outlineLevel="0" collapsed="false">
      <c r="A7" s="77" t="s">
        <v>217</v>
      </c>
      <c r="B7" s="46" t="s">
        <v>218</v>
      </c>
    </row>
    <row r="8" customFormat="false" ht="15" hidden="false" customHeight="false" outlineLevel="0" collapsed="false">
      <c r="A8" s="77" t="s">
        <v>219</v>
      </c>
      <c r="B8" s="46" t="s">
        <v>220</v>
      </c>
    </row>
    <row r="9" customFormat="false" ht="15" hidden="false" customHeight="false" outlineLevel="0" collapsed="false">
      <c r="A9" s="56"/>
      <c r="B9" s="45"/>
    </row>
    <row r="10" customFormat="false" ht="15" hidden="false" customHeight="false" outlineLevel="0" collapsed="false">
      <c r="A10" s="76" t="s">
        <v>221</v>
      </c>
      <c r="B10" s="45"/>
    </row>
    <row r="11" customFormat="false" ht="15" hidden="false" customHeight="false" outlineLevel="0" collapsed="false">
      <c r="A11" s="77" t="s">
        <v>222</v>
      </c>
      <c r="B11" s="45" t="s">
        <v>223</v>
      </c>
    </row>
    <row r="12" customFormat="false" ht="14.15" hidden="false" customHeight="false" outlineLevel="0" collapsed="false">
      <c r="A12" s="78" t="s">
        <v>224</v>
      </c>
      <c r="B12" s="45" t="s">
        <v>225</v>
      </c>
    </row>
    <row r="13" customFormat="false" ht="14.15" hidden="false" customHeight="false" outlineLevel="0" collapsed="false">
      <c r="A13" s="78" t="s">
        <v>226</v>
      </c>
      <c r="B13" s="45" t="s">
        <v>227</v>
      </c>
    </row>
    <row r="14" customFormat="false" ht="15" hidden="false" customHeight="false" outlineLevel="0" collapsed="false">
      <c r="A14" s="78" t="s">
        <v>228</v>
      </c>
      <c r="B14" s="45" t="s">
        <v>229</v>
      </c>
    </row>
    <row r="15" customFormat="false" ht="15" hidden="false" customHeight="false" outlineLevel="0" collapsed="false">
      <c r="A15" s="77" t="s">
        <v>16</v>
      </c>
      <c r="B15" s="45" t="s">
        <v>230</v>
      </c>
    </row>
    <row r="16" customFormat="false" ht="15" hidden="false" customHeight="false" outlineLevel="0" collapsed="false">
      <c r="A16" s="77" t="s">
        <v>17</v>
      </c>
      <c r="B16" s="45" t="s">
        <v>231</v>
      </c>
    </row>
    <row r="17" customFormat="false" ht="14.15" hidden="false" customHeight="false" outlineLevel="0" collapsed="false">
      <c r="A17" s="77" t="s">
        <v>232</v>
      </c>
      <c r="B17" s="45" t="s">
        <v>233</v>
      </c>
    </row>
    <row r="18" customFormat="false" ht="15" hidden="false" customHeight="false" outlineLevel="0" collapsed="false">
      <c r="A18" s="77" t="s">
        <v>26</v>
      </c>
      <c r="B18" s="45" t="s">
        <v>234</v>
      </c>
    </row>
    <row r="19" customFormat="false" ht="15" hidden="false" customHeight="false" outlineLevel="0" collapsed="false">
      <c r="A19" s="77" t="s">
        <v>127</v>
      </c>
      <c r="B19" s="45" t="s">
        <v>235</v>
      </c>
    </row>
    <row r="20" customFormat="false" ht="15" hidden="false" customHeight="false" outlineLevel="0" collapsed="false">
      <c r="A20" s="56"/>
      <c r="B20" s="45"/>
    </row>
    <row r="21" customFormat="false" ht="15" hidden="false" customHeight="false" outlineLevel="0" collapsed="false">
      <c r="A21" s="79" t="s">
        <v>236</v>
      </c>
      <c r="B21" s="45"/>
    </row>
    <row r="22" customFormat="false" ht="15" hidden="false" customHeight="false" outlineLevel="0" collapsed="false">
      <c r="A22" s="77" t="s">
        <v>237</v>
      </c>
      <c r="B22" s="46" t="s">
        <v>238</v>
      </c>
    </row>
    <row r="23" customFormat="false" ht="15" hidden="false" customHeight="false" outlineLevel="0" collapsed="false">
      <c r="A23" s="78" t="s">
        <v>239</v>
      </c>
      <c r="B23" s="45" t="s">
        <v>240</v>
      </c>
    </row>
    <row r="24" customFormat="false" ht="14.15" hidden="false" customHeight="false" outlineLevel="0" collapsed="false">
      <c r="A24" s="78" t="s">
        <v>241</v>
      </c>
      <c r="B24" s="45" t="s">
        <v>242</v>
      </c>
    </row>
    <row r="25" customFormat="false" ht="15" hidden="false" customHeight="false" outlineLevel="0" collapsed="false">
      <c r="A25" s="56"/>
      <c r="B25" s="45"/>
    </row>
    <row r="26" customFormat="false" ht="15" hidden="false" customHeight="false" outlineLevel="0" collapsed="false">
      <c r="A26" s="76" t="s">
        <v>243</v>
      </c>
      <c r="B26" s="45"/>
    </row>
    <row r="27" customFormat="false" ht="14.15" hidden="false" customHeight="false" outlineLevel="0" collapsed="false">
      <c r="A27" s="77" t="s">
        <v>244</v>
      </c>
      <c r="B27" s="46" t="s">
        <v>245</v>
      </c>
    </row>
    <row r="28" customFormat="false" ht="15" hidden="false" customHeight="false" outlineLevel="0" collapsed="false">
      <c r="A28" s="77" t="s">
        <v>246</v>
      </c>
      <c r="B28" s="45" t="s">
        <v>247</v>
      </c>
    </row>
    <row r="29" customFormat="false" ht="14.15" hidden="false" customHeight="false" outlineLevel="0" collapsed="false">
      <c r="A29" s="78" t="s">
        <v>248</v>
      </c>
      <c r="B29" s="45" t="s">
        <v>249</v>
      </c>
    </row>
    <row r="30" customFormat="false" ht="15" hidden="false" customHeight="false" outlineLevel="0" collapsed="false">
      <c r="A30" s="77" t="s">
        <v>250</v>
      </c>
      <c r="B30" s="46" t="s">
        <v>251</v>
      </c>
    </row>
    <row r="31" customFormat="false" ht="14.15" hidden="false" customHeight="false" outlineLevel="0" collapsed="false">
      <c r="A31" s="78" t="s">
        <v>252</v>
      </c>
      <c r="B31" s="45" t="s">
        <v>253</v>
      </c>
    </row>
    <row r="32" customFormat="false" ht="14.15" hidden="false" customHeight="false" outlineLevel="0" collapsed="false">
      <c r="A32" s="78" t="s">
        <v>254</v>
      </c>
      <c r="B32" s="46" t="s">
        <v>255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2026-10-05T10:12:45Z</dcterms:created>
  <dc:creator>openpyxl</dc:creator>
  <dc:description/>
  <dc:language>en-US</dc:language>
  <cp:lastModifiedBy/>
  <dcterms:modified xsi:type="dcterms:W3CDTF">2026-10-05T10:12:45Z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