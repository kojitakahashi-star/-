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週次サマリー" sheetId="1" state="visible" r:id="rId3"/>
    <sheet name="入力" sheetId="2" state="visible" r:id="rId4"/>
    <sheet name="グラフ用データ" sheetId="3" state="visible" r:id="rId5"/>
    <sheet name="算出方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<sst xmlns="http://schemas.openxmlformats.org/spreadsheetml/2006/main" count="217" uniqueCount="145">
  <si>
    <t xml:space="preserve">営業 週次報告</t>
  </si>
  <si>
    <t xml:space="preserve">１．今週のハイライト</t>
  </si>
  <si>
    <r>
      <rPr>
        <sz val="9"/>
        <color rgb="FF767676"/>
        <rFont val="Meiryo"/>
        <family val="0"/>
        <charset val="1"/>
      </rPr>
      <t xml:space="preserve">1</t>
    </r>
    <r>
      <rPr>
        <sz val="9"/>
        <color rgb="FF767676"/>
        <rFont val="WenQuanYi Zen Hei"/>
        <family val="2"/>
      </rPr>
      <t xml:space="preserve">〜</t>
    </r>
    <r>
      <rPr>
        <sz val="9"/>
        <color rgb="FF767676"/>
        <rFont val="Meiryo"/>
        <family val="0"/>
        <charset val="1"/>
      </rPr>
      <t xml:space="preserve">2</t>
    </r>
    <r>
      <rPr>
        <sz val="9"/>
        <color rgb="FF767676"/>
        <rFont val="WenQuanYi Zen Hei"/>
        <family val="2"/>
      </rPr>
      <t xml:space="preserve">文。数字の根拠は②以降に置く。</t>
    </r>
  </si>
  <si>
    <r>
      <rPr>
        <sz val="10"/>
        <color rgb="FF1A1A1A"/>
        <rFont val="Meiryo"/>
        <family val="0"/>
        <charset val="1"/>
      </rPr>
      <t xml:space="preserve">AB</t>
    </r>
    <r>
      <rPr>
        <sz val="10"/>
        <color rgb="FF1A1A1A"/>
        <rFont val="WenQuanYi Zen Hei"/>
        <family val="2"/>
      </rPr>
      <t xml:space="preserve">昇格は当月分 </t>
    </r>
    <r>
      <rPr>
        <sz val="10"/>
        <color rgb="FF1A1A1A"/>
        <rFont val="Meiryo"/>
        <family val="0"/>
        <charset val="1"/>
      </rPr>
      <t xml:space="preserve">4,120</t>
    </r>
    <r>
      <rPr>
        <sz val="10"/>
        <color rgb="FF1A1A1A"/>
        <rFont val="WenQuanYi Zen Hei"/>
        <family val="2"/>
      </rPr>
      <t xml:space="preserve">千円・進捗</t>
    </r>
    <r>
      <rPr>
        <sz val="10"/>
        <color rgb="FF1A1A1A"/>
        <rFont val="Meiryo"/>
        <family val="0"/>
        <charset val="1"/>
      </rPr>
      <t xml:space="preserve">30.8%</t>
    </r>
    <r>
      <rPr>
        <sz val="10"/>
        <color rgb="FF1A1A1A"/>
        <rFont val="WenQuanYi Zen Hei"/>
        <family val="2"/>
      </rPr>
      <t xml:space="preserve">で、必要進捗率</t>
    </r>
    <r>
      <rPr>
        <sz val="10"/>
        <color rgb="FF1A1A1A"/>
        <rFont val="Meiryo"/>
        <family val="0"/>
        <charset val="1"/>
      </rPr>
      <t xml:space="preserve">33.3%</t>
    </r>
    <r>
      <rPr>
        <sz val="10"/>
        <color rgb="FF1A1A1A"/>
        <rFont val="WenQuanYi Zen Hei"/>
        <family val="2"/>
      </rPr>
      <t xml:space="preserve">をわずかに下回る。商談獲得は</t>
    </r>
    <r>
      <rPr>
        <sz val="10"/>
        <color rgb="FF1A1A1A"/>
        <rFont val="Meiryo"/>
        <family val="0"/>
        <charset val="1"/>
      </rPr>
      <t xml:space="preserve">8</t>
    </r>
    <r>
      <rPr>
        <sz val="10"/>
        <color rgb="FF1A1A1A"/>
        <rFont val="WenQuanYi Zen Hei"/>
        <family val="2"/>
      </rPr>
      <t xml:space="preserve">件・</t>
    </r>
    <r>
      <rPr>
        <sz val="10"/>
        <color rgb="FF1A1A1A"/>
        <rFont val="Meiryo"/>
        <family val="0"/>
        <charset val="1"/>
      </rPr>
      <t xml:space="preserve">34.8%</t>
    </r>
    <r>
      <rPr>
        <sz val="10"/>
        <color rgb="FF1A1A1A"/>
        <rFont val="WenQuanYi Zen Hei"/>
        <family val="2"/>
      </rPr>
      <t xml:space="preserve">で先行、商談発生額は</t>
    </r>
    <r>
      <rPr>
        <sz val="10"/>
        <color rgb="FF1A1A1A"/>
        <rFont val="Meiryo"/>
        <family val="0"/>
        <charset val="1"/>
      </rPr>
      <t xml:space="preserve">27.4%</t>
    </r>
    <r>
      <rPr>
        <sz val="10"/>
        <color rgb="FF1A1A1A"/>
        <rFont val="WenQuanYi Zen Hei"/>
        <family val="2"/>
      </rPr>
      <t xml:space="preserve">と遅れている。</t>
    </r>
  </si>
  <si>
    <t xml:space="preserve">２．数字サマリー</t>
  </si>
  <si>
    <r>
      <rPr>
        <sz val="9"/>
        <color rgb="FF767676"/>
        <rFont val="WenQuanYi Zen Hei"/>
        <family val="2"/>
      </rPr>
      <t xml:space="preserve">目標・実績・先週比・進捗率。必要進捗率は 経過営業日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当月営業日 です。</t>
    </r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</si>
  <si>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昇格額（正味）実績</t>
    </r>
  </si>
  <si>
    <t xml:space="preserve">月次目標</t>
  </si>
  <si>
    <t xml:space="preserve">進捗率</t>
  </si>
  <si>
    <t xml:space="preserve">先週比</t>
  </si>
  <si>
    <t xml:space="preserve">当月完了予定分</t>
  </si>
  <si>
    <r>
      <rPr>
        <sz val="8.5"/>
        <color rgb="FF767676"/>
        <rFont val="Meiryo"/>
        <family val="0"/>
        <charset val="1"/>
      </rPr>
      <t xml:space="preserve">13,369</t>
    </r>
    <r>
      <rPr>
        <sz val="8.5"/>
        <color rgb="FF767676"/>
        <rFont val="WenQuanYi Zen Hei"/>
        <family val="2"/>
      </rPr>
      <t xml:space="preserve">千円</t>
    </r>
  </si>
  <si>
    <r>
      <rPr>
        <sz val="8.5"/>
        <color rgb="FF767676"/>
        <rFont val="WenQuanYi Zen Hei"/>
        <family val="2"/>
      </rPr>
      <t xml:space="preserve">実績 </t>
    </r>
    <r>
      <rPr>
        <sz val="8.5"/>
        <color rgb="FF767676"/>
        <rFont val="Meiryo"/>
        <family val="0"/>
        <charset val="1"/>
      </rPr>
      <t xml:space="preserve">÷ </t>
    </r>
    <r>
      <rPr>
        <sz val="8.5"/>
        <color rgb="FF767676"/>
        <rFont val="WenQuanYi Zen Hei"/>
        <family val="2"/>
      </rPr>
      <t xml:space="preserve">目標</t>
    </r>
  </si>
  <si>
    <t xml:space="preserve">当月分の増減</t>
  </si>
  <si>
    <t xml:space="preserve">商談獲得 有効件数</t>
  </si>
  <si>
    <r>
      <rPr>
        <sz val="8.5"/>
        <color rgb="FF767676"/>
        <rFont val="Meiryo"/>
        <family val="0"/>
        <charset val="1"/>
      </rPr>
      <t xml:space="preserve">23</t>
    </r>
    <r>
      <rPr>
        <sz val="8.5"/>
        <color rgb="FF767676"/>
        <rFont val="WenQuanYi Zen Hei"/>
        <family val="2"/>
      </rPr>
      <t xml:space="preserve">件</t>
    </r>
  </si>
  <si>
    <t xml:space="preserve">商談発生額 実績</t>
  </si>
  <si>
    <r>
      <rPr>
        <sz val="8.5"/>
        <color rgb="FF767676"/>
        <rFont val="Meiryo"/>
        <family val="0"/>
        <charset val="1"/>
      </rPr>
      <t xml:space="preserve">69,000</t>
    </r>
    <r>
      <rPr>
        <sz val="8.5"/>
        <color rgb="FF767676"/>
        <rFont val="WenQuanYi Zen Hei"/>
        <family val="2"/>
      </rPr>
      <t xml:space="preserve">千円</t>
    </r>
  </si>
  <si>
    <t xml:space="preserve">必要進捗率（今週時点）</t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</si>
  <si>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昇格額の過不足</t>
    </r>
  </si>
  <si>
    <t xml:space="preserve">商談件数の過不足</t>
  </si>
  <si>
    <t xml:space="preserve">商談発生額の過不足</t>
  </si>
  <si>
    <r>
      <rPr>
        <sz val="8.5"/>
        <color rgb="FF767676"/>
        <rFont val="WenQuanYi Zen Hei"/>
        <family val="2"/>
      </rPr>
      <t xml:space="preserve">経過営業日 </t>
    </r>
    <r>
      <rPr>
        <sz val="8.5"/>
        <color rgb="FF767676"/>
        <rFont val="Meiryo"/>
        <family val="0"/>
        <charset val="1"/>
      </rPr>
      <t xml:space="preserve">÷ </t>
    </r>
    <r>
      <rPr>
        <sz val="8.5"/>
        <color rgb="FF767676"/>
        <rFont val="WenQuanYi Zen Hei"/>
        <family val="2"/>
      </rPr>
      <t xml:space="preserve">当月営業日</t>
    </r>
  </si>
  <si>
    <t xml:space="preserve">進捗率 − 必要進捗率</t>
  </si>
  <si>
    <t xml:space="preserve">玉の増減（先週 → 今週）</t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</si>
  <si>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玉 残高</t>
    </r>
  </si>
  <si>
    <r>
      <rPr>
        <b val="true"/>
        <sz val="9.5"/>
        <color rgb="FF767676"/>
        <rFont val="Meiryo"/>
        <family val="0"/>
        <charset val="1"/>
      </rPr>
      <t xml:space="preserve">CD</t>
    </r>
    <r>
      <rPr>
        <b val="true"/>
        <sz val="9.5"/>
        <color rgb="FF767676"/>
        <rFont val="WenQuanYi Zen Hei"/>
        <family val="2"/>
      </rPr>
      <t xml:space="preserve">玉 残高</t>
    </r>
  </si>
  <si>
    <t xml:space="preserve">総玉 残高</t>
  </si>
  <si>
    <t xml:space="preserve">商談件数</t>
  </si>
  <si>
    <t xml:space="preserve">３．時期別の内訳</t>
  </si>
  <si>
    <t xml:space="preserve">当月・来月以降・来期のどこに積み上がっているか。完了予定日が未入力の商談は進捗率の分子から漏れます。</t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</si>
  <si>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昇格額｜当月</t>
    </r>
  </si>
  <si>
    <t xml:space="preserve">来月以降（今期）</t>
  </si>
  <si>
    <t xml:space="preserve">来期</t>
  </si>
  <si>
    <t xml:space="preserve">完了日 未入力</t>
  </si>
  <si>
    <t xml:space="preserve">合計</t>
  </si>
  <si>
    <t xml:space="preserve">商談発生額｜当月</t>
  </si>
  <si>
    <t xml:space="preserve">完了予定日 未入力 件数</t>
  </si>
  <si>
    <t xml:space="preserve">同 金額</t>
  </si>
  <si>
    <t xml:space="preserve">商談獲得｜当月 件数</t>
  </si>
  <si>
    <t xml:space="preserve">商談獲得｜合計 件数</t>
  </si>
  <si>
    <t xml:space="preserve">完了予定日が未入力の商談は、当月・来月以降・来期のどれにも入らないため、目標に対する進捗率の分子から漏れます。</t>
  </si>
  <si>
    <t xml:space="preserve">４．その他トピック</t>
  </si>
  <si>
    <t xml:space="preserve">数字に出ない動き。受注・失注の理由、顧客の反応など。</t>
  </si>
  <si>
    <r>
      <rPr>
        <sz val="10"/>
        <color rgb="FF1A1A1A"/>
        <rFont val="WenQuanYi Zen Hei"/>
        <family val="2"/>
      </rPr>
      <t xml:space="preserve">来期完了予定の</t>
    </r>
    <r>
      <rPr>
        <sz val="10"/>
        <color rgb="FF1A1A1A"/>
        <rFont val="Meiryo"/>
        <family val="0"/>
        <charset val="1"/>
      </rPr>
      <t xml:space="preserve">AB</t>
    </r>
    <r>
      <rPr>
        <sz val="10"/>
        <color rgb="FF1A1A1A"/>
        <rFont val="WenQuanYi Zen Hei"/>
        <family val="2"/>
      </rPr>
      <t xml:space="preserve">昇格が </t>
    </r>
    <r>
      <rPr>
        <sz val="10"/>
        <color rgb="FF1A1A1A"/>
        <rFont val="Meiryo"/>
        <family val="0"/>
        <charset val="1"/>
      </rPr>
      <t xml:space="preserve">1,128</t>
    </r>
    <r>
      <rPr>
        <sz val="10"/>
        <color rgb="FF1A1A1A"/>
        <rFont val="WenQuanYi Zen Hei"/>
        <family val="2"/>
      </rPr>
      <t xml:space="preserve">千円 発生。今期の数字には乗らない。完了予定日が未入力の商談が </t>
    </r>
    <r>
      <rPr>
        <sz val="10"/>
        <color rgb="FF1A1A1A"/>
        <rFont val="Meiryo"/>
        <family val="0"/>
        <charset val="1"/>
      </rPr>
      <t xml:space="preserve">34</t>
    </r>
    <r>
      <rPr>
        <sz val="10"/>
        <color rgb="FF1A1A1A"/>
        <rFont val="WenQuanYi Zen Hei"/>
        <family val="2"/>
      </rPr>
      <t xml:space="preserve">件・</t>
    </r>
    <r>
      <rPr>
        <sz val="10"/>
        <color rgb="FF1A1A1A"/>
        <rFont val="Meiryo"/>
        <family val="0"/>
        <charset val="1"/>
      </rPr>
      <t xml:space="preserve">11,200</t>
    </r>
    <r>
      <rPr>
        <sz val="10"/>
        <color rgb="FF1A1A1A"/>
        <rFont val="WenQuanYi Zen Hei"/>
        <family val="2"/>
      </rPr>
      <t xml:space="preserve">千円 に増加（先週比 </t>
    </r>
    <r>
      <rPr>
        <sz val="10"/>
        <color rgb="FF1A1A1A"/>
        <rFont val="Meiryo"/>
        <family val="0"/>
        <charset val="1"/>
      </rPr>
      <t xml:space="preserve">+5</t>
    </r>
    <r>
      <rPr>
        <sz val="10"/>
        <color rgb="FF1A1A1A"/>
        <rFont val="WenQuanYi Zen Hei"/>
        <family val="2"/>
      </rPr>
      <t xml:space="preserve">件）。</t>
    </r>
  </si>
  <si>
    <t xml:space="preserve">５．課題・懸念事項</t>
  </si>
  <si>
    <t xml:space="preserve">来週以降の数字を落としかねないもの。</t>
  </si>
  <si>
    <r>
      <rPr>
        <sz val="10"/>
        <color rgb="FF1A1A1A"/>
        <rFont val="WenQuanYi Zen Hei"/>
        <family val="2"/>
      </rPr>
      <t xml:space="preserve">商談発生額が必要進捗率を </t>
    </r>
    <r>
      <rPr>
        <sz val="10"/>
        <color rgb="FF1A1A1A"/>
        <rFont val="Meiryo"/>
        <family val="0"/>
        <charset val="1"/>
      </rPr>
      <t xml:space="preserve">5.9pt </t>
    </r>
    <r>
      <rPr>
        <sz val="10"/>
        <color rgb="FF1A1A1A"/>
        <rFont val="WenQuanYi Zen Hei"/>
        <family val="2"/>
      </rPr>
      <t xml:space="preserve">下回る。完了予定日 未入力が </t>
    </r>
    <r>
      <rPr>
        <sz val="10"/>
        <color rgb="FF1A1A1A"/>
        <rFont val="Meiryo"/>
        <family val="0"/>
        <charset val="1"/>
      </rPr>
      <t xml:space="preserve">+5</t>
    </r>
    <r>
      <rPr>
        <sz val="10"/>
        <color rgb="FF1A1A1A"/>
        <rFont val="WenQuanYi Zen Hei"/>
        <family val="2"/>
      </rPr>
      <t xml:space="preserve">件で、進捗率の分子から漏れている。</t>
    </r>
    <r>
      <rPr>
        <sz val="10"/>
        <color rgb="FF1A1A1A"/>
        <rFont val="Meiryo"/>
        <family val="0"/>
        <charset val="1"/>
      </rPr>
      <t xml:space="preserve">CD</t>
    </r>
    <r>
      <rPr>
        <sz val="10"/>
        <color rgb="FF1A1A1A"/>
        <rFont val="WenQuanYi Zen Hei"/>
        <family val="2"/>
      </rPr>
      <t xml:space="preserve">玉は </t>
    </r>
    <r>
      <rPr>
        <sz val="10"/>
        <color rgb="FF1A1A1A"/>
        <rFont val="Meiryo"/>
        <family val="0"/>
        <charset val="1"/>
      </rPr>
      <t xml:space="preserve">-1,600</t>
    </r>
    <r>
      <rPr>
        <sz val="10"/>
        <color rgb="FF1A1A1A"/>
        <rFont val="WenQuanYi Zen Hei"/>
        <family val="2"/>
      </rPr>
      <t xml:space="preserve">千円 と減少。</t>
    </r>
  </si>
  <si>
    <t xml:space="preserve">６．来週のアクション</t>
  </si>
  <si>
    <t xml:space="preserve">誰が・何を・いつまでに。</t>
  </si>
  <si>
    <r>
      <rPr>
        <sz val="10"/>
        <color rgb="FF1A1A1A"/>
        <rFont val="WenQuanYi Zen Hei"/>
        <family val="2"/>
      </rPr>
      <t xml:space="preserve">未入力</t>
    </r>
    <r>
      <rPr>
        <sz val="10"/>
        <color rgb="FF1A1A1A"/>
        <rFont val="Meiryo"/>
        <family val="0"/>
        <charset val="1"/>
      </rPr>
      <t xml:space="preserve">34</t>
    </r>
    <r>
      <rPr>
        <sz val="10"/>
        <color rgb="FF1A1A1A"/>
        <rFont val="WenQuanYi Zen Hei"/>
        <family val="2"/>
      </rPr>
      <t xml:space="preserve">件の完了予定日を入力（各担当・</t>
    </r>
    <r>
      <rPr>
        <sz val="10"/>
        <color rgb="FF1A1A1A"/>
        <rFont val="Meiryo"/>
        <family val="0"/>
        <charset val="1"/>
      </rPr>
      <t xml:space="preserve">10/17</t>
    </r>
    <r>
      <rPr>
        <sz val="10"/>
        <color rgb="FF1A1A1A"/>
        <rFont val="WenQuanYi Zen Hei"/>
        <family val="2"/>
      </rPr>
      <t xml:space="preserve">まで）。商談発生額の不足を埋めるため、既存顧客へ提案を</t>
    </r>
    <r>
      <rPr>
        <sz val="10"/>
        <color rgb="FF1A1A1A"/>
        <rFont val="Meiryo"/>
        <family val="0"/>
        <charset val="1"/>
      </rPr>
      <t xml:space="preserve">5</t>
    </r>
    <r>
      <rPr>
        <sz val="10"/>
        <color rgb="FF1A1A1A"/>
        <rFont val="WenQuanYi Zen Hei"/>
        <family val="2"/>
      </rPr>
      <t xml:space="preserve">件出す（エグゼ</t>
    </r>
    <r>
      <rPr>
        <sz val="10"/>
        <color rgb="FF1A1A1A"/>
        <rFont val="Meiryo"/>
        <family val="0"/>
        <charset val="1"/>
      </rPr>
      <t xml:space="preserve">2</t>
    </r>
    <r>
      <rPr>
        <sz val="10"/>
        <color rgb="FF1A1A1A"/>
        <rFont val="WenQuanYi Zen Hei"/>
        <family val="2"/>
      </rPr>
      <t xml:space="preserve">名）。</t>
    </r>
  </si>
  <si>
    <r>
      <rPr>
        <b val="true"/>
        <sz val="10"/>
        <color rgb="FF767676"/>
        <rFont val="Meiryo"/>
        <family val="0"/>
        <charset val="1"/>
      </rPr>
      <t xml:space="preserve">※ 1</t>
    </r>
    <r>
      <rPr>
        <b val="true"/>
        <sz val="10"/>
        <color rgb="FF767676"/>
        <rFont val="WenQuanYi Zen Hei"/>
        <family val="2"/>
      </rPr>
      <t xml:space="preserve">〜</t>
    </r>
    <r>
      <rPr>
        <b val="true"/>
        <sz val="10"/>
        <color rgb="FF767676"/>
        <rFont val="Meiryo"/>
        <family val="0"/>
        <charset val="1"/>
      </rPr>
      <t xml:space="preserve">6</t>
    </r>
    <r>
      <rPr>
        <b val="true"/>
        <sz val="10"/>
        <color rgb="FF767676"/>
        <rFont val="WenQuanYi Zen Hei"/>
        <family val="2"/>
      </rPr>
      <t xml:space="preserve">の合計は</t>
    </r>
    <r>
      <rPr>
        <b val="true"/>
        <sz val="10"/>
        <color rgb="FF767676"/>
        <rFont val="Meiryo"/>
        <family val="0"/>
        <charset val="1"/>
      </rPr>
      <t xml:space="preserve">400</t>
    </r>
    <r>
      <rPr>
        <b val="true"/>
        <sz val="10"/>
        <color rgb="FF767676"/>
        <rFont val="WenQuanYi Zen Hei"/>
        <family val="2"/>
      </rPr>
      <t xml:space="preserve">字以内に収めてください。</t>
    </r>
  </si>
  <si>
    <t xml:space="preserve">入力シート（青字だけ埋めてください）</t>
  </si>
  <si>
    <r>
      <rPr>
        <sz val="9"/>
        <color rgb="FF767676"/>
        <rFont val="Meiryo"/>
        <family val="0"/>
        <charset val="1"/>
      </rPr>
      <t xml:space="preserve">2</t>
    </r>
    <r>
      <rPr>
        <sz val="9"/>
        <color rgb="FF767676"/>
        <rFont val="WenQuanYi Zen Hei"/>
        <family val="2"/>
      </rPr>
      <t xml:space="preserve">本の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レポート（先週分・最新分）から集計した値を入れます。ほかのシートは全部ここから自動計算されます。単位：千円。</t>
    </r>
  </si>
  <si>
    <r>
      <rPr>
        <b val="true"/>
        <sz val="11"/>
        <color rgb="FF2C5F2D"/>
        <rFont val="Meiryo"/>
        <family val="0"/>
        <charset val="1"/>
      </rPr>
      <t xml:space="preserve">■ A. </t>
    </r>
    <r>
      <rPr>
        <b val="true"/>
        <sz val="11"/>
        <color rgb="FF2C5F2D"/>
        <rFont val="WenQuanYi Zen Hei"/>
        <family val="2"/>
      </rPr>
      <t xml:space="preserve">当月の目標と営業日</t>
    </r>
  </si>
  <si>
    <t xml:space="preserve">対象月</t>
  </si>
  <si>
    <r>
      <rPr>
        <sz val="10"/>
        <color rgb="FF0000FF"/>
        <rFont val="Meiryo"/>
        <family val="0"/>
        <charset val="1"/>
      </rPr>
      <t xml:space="preserve">2026</t>
    </r>
    <r>
      <rPr>
        <sz val="10"/>
        <color rgb="FF0000FF"/>
        <rFont val="WenQuanYi Zen Hei"/>
        <family val="2"/>
      </rPr>
      <t xml:space="preserve">年</t>
    </r>
    <r>
      <rPr>
        <sz val="10"/>
        <color rgb="FF0000FF"/>
        <rFont val="Meiryo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月</t>
    </r>
  </si>
  <si>
    <t xml:space="preserve">※ レポートの対象月</t>
  </si>
  <si>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昇格額（正味）目標</t>
    </r>
  </si>
  <si>
    <t xml:space="preserve">※ 月次目標。正味＝昇格 − 降格</t>
  </si>
  <si>
    <t xml:space="preserve">商談獲得 有効件数 目標</t>
  </si>
  <si>
    <t xml:space="preserve">※ 月次目標</t>
  </si>
  <si>
    <t xml:space="preserve">商談発生額 目標</t>
  </si>
  <si>
    <t xml:space="preserve">当月の営業日数</t>
  </si>
  <si>
    <t xml:space="preserve">※ 祝日を除いた日数</t>
  </si>
  <si>
    <t xml:space="preserve">経過営業日数（報告時点）</t>
  </si>
  <si>
    <t xml:space="preserve">※ 報告日までに経過した営業日数</t>
  </si>
  <si>
    <t xml:space="preserve">週次の必要進捗率</t>
  </si>
  <si>
    <r>
      <rPr>
        <sz val="9"/>
        <color rgb="FF767676"/>
        <rFont val="WenQuanYi Zen Hei"/>
        <family val="2"/>
      </rPr>
      <t xml:space="preserve">＝ 経過営業日数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当月の営業日数。この率を実績の進捗率が下回っていたら遅れです</t>
    </r>
  </si>
  <si>
    <r>
      <rPr>
        <b val="true"/>
        <sz val="11"/>
        <color rgb="FF2C5F2D"/>
        <rFont val="Meiryo"/>
        <family val="0"/>
        <charset val="1"/>
      </rPr>
      <t xml:space="preserve">■ B. </t>
    </r>
    <r>
      <rPr>
        <b val="true"/>
        <sz val="11"/>
        <color rgb="FF2C5F2D"/>
        <rFont val="WenQuanYi Zen Hei"/>
        <family val="2"/>
      </rPr>
      <t xml:space="preserve">比較する</t>
    </r>
    <r>
      <rPr>
        <b val="true"/>
        <sz val="11"/>
        <color rgb="FF2C5F2D"/>
        <rFont val="Meiryo"/>
        <family val="0"/>
        <charset val="1"/>
      </rPr>
      <t xml:space="preserve">2</t>
    </r>
    <r>
      <rPr>
        <b val="true"/>
        <sz val="11"/>
        <color rgb="FF2C5F2D"/>
        <rFont val="WenQuanYi Zen Hei"/>
        <family val="2"/>
      </rPr>
      <t xml:space="preserve">本の</t>
    </r>
    <r>
      <rPr>
        <b val="true"/>
        <sz val="11"/>
        <color rgb="FF2C5F2D"/>
        <rFont val="Meiryo"/>
        <family val="0"/>
        <charset val="1"/>
      </rPr>
      <t xml:space="preserve">SF</t>
    </r>
    <r>
      <rPr>
        <b val="true"/>
        <sz val="11"/>
        <color rgb="FF2C5F2D"/>
        <rFont val="WenQuanYi Zen Hei"/>
        <family val="2"/>
      </rPr>
      <t xml:space="preserve">レポート</t>
    </r>
  </si>
  <si>
    <t xml:space="preserve">先週レポートの日付</t>
  </si>
  <si>
    <t xml:space="preserve">2026/10/03</t>
  </si>
  <si>
    <r>
      <rPr>
        <sz val="9"/>
        <color rgb="FF767676"/>
        <rFont val="WenQuanYi Zen Hei"/>
        <family val="2"/>
      </rPr>
      <t xml:space="preserve">※ 例：</t>
    </r>
    <r>
      <rPr>
        <sz val="9"/>
        <color rgb="FF767676"/>
        <rFont val="Meiryo"/>
        <family val="0"/>
        <charset val="1"/>
      </rPr>
      <t xml:space="preserve">2026/10/03</t>
    </r>
  </si>
  <si>
    <t xml:space="preserve">最新レポートの日付</t>
  </si>
  <si>
    <t xml:space="preserve">2026/10/10</t>
  </si>
  <si>
    <r>
      <rPr>
        <sz val="9"/>
        <color rgb="FF767676"/>
        <rFont val="WenQuanYi Zen Hei"/>
        <family val="2"/>
      </rPr>
      <t xml:space="preserve">※ 例：</t>
    </r>
    <r>
      <rPr>
        <sz val="9"/>
        <color rgb="FF767676"/>
        <rFont val="Meiryo"/>
        <family val="0"/>
        <charset val="1"/>
      </rPr>
      <t xml:space="preserve">2026/10/10</t>
    </r>
  </si>
  <si>
    <r>
      <rPr>
        <b val="true"/>
        <sz val="11"/>
        <color rgb="FF2C5F2D"/>
        <rFont val="Meiryo"/>
        <family val="0"/>
        <charset val="1"/>
      </rPr>
      <t xml:space="preserve">■ C. AB</t>
    </r>
    <r>
      <rPr>
        <b val="true"/>
        <sz val="11"/>
        <color rgb="FF2C5F2D"/>
        <rFont val="WenQuanYi Zen Hei"/>
        <family val="2"/>
      </rPr>
      <t xml:space="preserve">昇格額（正味）千円</t>
    </r>
  </si>
  <si>
    <t xml:space="preserve">完了予定日がいつの商談か別に。正味＝当週の昇格 − 降格。</t>
  </si>
  <si>
    <t xml:space="preserve">区分</t>
  </si>
  <si>
    <t xml:space="preserve">先週</t>
  </si>
  <si>
    <t xml:space="preserve">今週</t>
  </si>
  <si>
    <t xml:space="preserve">増減</t>
  </si>
  <si>
    <t xml:space="preserve">当月（対象月）</t>
  </si>
  <si>
    <t xml:space="preserve">来月以降（今期内）</t>
  </si>
  <si>
    <r>
      <rPr>
        <sz val="10"/>
        <color rgb="FF1A1A1A"/>
        <rFont val="WenQuanYi Zen Hei"/>
        <family val="2"/>
      </rPr>
      <t xml:space="preserve">来期（</t>
    </r>
    <r>
      <rPr>
        <sz val="10"/>
        <color rgb="FF1A1A1A"/>
        <rFont val="Meiryo"/>
        <family val="0"/>
        <charset val="1"/>
      </rPr>
      <t xml:space="preserve">27</t>
    </r>
    <r>
      <rPr>
        <sz val="10"/>
        <color rgb="FF1A1A1A"/>
        <rFont val="WenQuanYi Zen Hei"/>
        <family val="2"/>
      </rPr>
      <t xml:space="preserve">年度以降）</t>
    </r>
  </si>
  <si>
    <t xml:space="preserve">完了予定日 未入力</t>
  </si>
  <si>
    <r>
      <rPr>
        <b val="true"/>
        <sz val="11"/>
        <color rgb="FF2C5F2D"/>
        <rFont val="Meiryo"/>
        <family val="0"/>
        <charset val="1"/>
      </rPr>
      <t xml:space="preserve">■ D. </t>
    </r>
    <r>
      <rPr>
        <b val="true"/>
        <sz val="11"/>
        <color rgb="FF2C5F2D"/>
        <rFont val="WenQuanYi Zen Hei"/>
        <family val="2"/>
      </rPr>
      <t xml:space="preserve">商談獲得 有効件数</t>
    </r>
  </si>
  <si>
    <t xml:space="preserve">「有効」の定義は算出方法シートに明記してください。</t>
  </si>
  <si>
    <r>
      <rPr>
        <b val="true"/>
        <sz val="11"/>
        <color rgb="FF2C5F2D"/>
        <rFont val="Meiryo"/>
        <family val="0"/>
        <charset val="1"/>
      </rPr>
      <t xml:space="preserve">■ E. </t>
    </r>
    <r>
      <rPr>
        <b val="true"/>
        <sz val="11"/>
        <color rgb="FF2C5F2D"/>
        <rFont val="WenQuanYi Zen Hei"/>
        <family val="2"/>
      </rPr>
      <t xml:space="preserve">商談発生額 千円</t>
    </r>
  </si>
  <si>
    <t xml:space="preserve">新規に発生した商談の金額。完了予定日の時期別に。</t>
  </si>
  <si>
    <r>
      <rPr>
        <b val="true"/>
        <sz val="11"/>
        <color rgb="FF2C5F2D"/>
        <rFont val="Meiryo"/>
        <family val="0"/>
        <charset val="1"/>
      </rPr>
      <t xml:space="preserve">■ F. </t>
    </r>
    <r>
      <rPr>
        <b val="true"/>
        <sz val="11"/>
        <color rgb="FF2C5F2D"/>
        <rFont val="WenQuanYi Zen Hei"/>
        <family val="2"/>
      </rPr>
      <t xml:space="preserve">玉の残高（参考）</t>
    </r>
  </si>
  <si>
    <r>
      <rPr>
        <sz val="10"/>
        <color rgb="FF1A1A1A"/>
        <rFont val="Meiryo"/>
        <family val="0"/>
        <charset val="1"/>
      </rPr>
      <t xml:space="preserve">AB</t>
    </r>
    <r>
      <rPr>
        <sz val="10"/>
        <color rgb="FF1A1A1A"/>
        <rFont val="WenQuanYi Zen Hei"/>
        <family val="2"/>
      </rPr>
      <t xml:space="preserve">玉 残高</t>
    </r>
  </si>
  <si>
    <r>
      <rPr>
        <sz val="10"/>
        <color rgb="FF1A1A1A"/>
        <rFont val="Meiryo"/>
        <family val="0"/>
        <charset val="1"/>
      </rPr>
      <t xml:space="preserve">CD</t>
    </r>
    <r>
      <rPr>
        <sz val="10"/>
        <color rgb="FF1A1A1A"/>
        <rFont val="WenQuanYi Zen Hei"/>
        <family val="2"/>
      </rPr>
      <t xml:space="preserve">玉 残高</t>
    </r>
  </si>
  <si>
    <t xml:space="preserve">商談件数（総数）</t>
  </si>
  <si>
    <r>
      <rPr>
        <b val="true"/>
        <sz val="11"/>
        <color rgb="FF2C5F2D"/>
        <rFont val="Meiryo"/>
        <family val="0"/>
        <charset val="1"/>
      </rPr>
      <t xml:space="preserve">■ G. </t>
    </r>
    <r>
      <rPr>
        <b val="true"/>
        <sz val="11"/>
        <color rgb="FF2C5F2D"/>
        <rFont val="WenQuanYi Zen Hei"/>
        <family val="2"/>
      </rPr>
      <t xml:space="preserve">完了予定日が入っていない商談</t>
    </r>
  </si>
  <si>
    <t xml:space="preserve">件数</t>
  </si>
  <si>
    <t xml:space="preserve">金額</t>
  </si>
  <si>
    <t xml:space="preserve">※ 完了予定日が空欄の商談は、当月・来月以降・来期のどれにも入らないため、進捗率の分子から漏れます。</t>
  </si>
  <si>
    <t xml:space="preserve">■ 凡例</t>
  </si>
  <si>
    <t xml:space="preserve">青字</t>
  </si>
  <si>
    <r>
      <rPr>
        <sz val="9"/>
        <color rgb="FF767676"/>
        <rFont val="WenQuanYi Zen Hei"/>
        <family val="2"/>
      </rPr>
      <t xml:space="preserve">手入力。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レポートから転記</t>
    </r>
  </si>
  <si>
    <t xml:space="preserve">黒字</t>
  </si>
  <si>
    <t xml:space="preserve">数式。触らない</t>
  </si>
  <si>
    <t xml:space="preserve">黄色塗り</t>
  </si>
  <si>
    <t xml:space="preserve">月次目標。変わると進捗率が全部動く</t>
  </si>
  <si>
    <t xml:space="preserve">グラフ用データ（週次サマリーのグラフが参照します）</t>
  </si>
  <si>
    <t xml:space="preserve">すべて入力シートからの自動計算。</t>
  </si>
  <si>
    <t xml:space="preserve">指標</t>
  </si>
  <si>
    <t xml:space="preserve">必要進捗率</t>
  </si>
  <si>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昇格額（正味）</t>
    </r>
  </si>
  <si>
    <t xml:space="preserve">商談発生額</t>
  </si>
  <si>
    <r>
      <rPr>
        <b val="true"/>
        <sz val="10"/>
        <color rgb="FF2C5F2D"/>
        <rFont val="Meiryo"/>
        <family val="0"/>
        <charset val="1"/>
      </rPr>
      <t xml:space="preserve">AB</t>
    </r>
    <r>
      <rPr>
        <b val="true"/>
        <sz val="10"/>
        <color rgb="FF2C5F2D"/>
        <rFont val="WenQuanYi Zen Hei"/>
        <family val="2"/>
      </rPr>
      <t xml:space="preserve">昇格額（正味）の時期別</t>
    </r>
  </si>
  <si>
    <r>
      <rPr>
        <b val="true"/>
        <sz val="10"/>
        <color rgb="FFFFFFFF"/>
        <rFont val="WenQuanYi Zen Hei"/>
        <family val="2"/>
      </rPr>
      <t xml:space="preserve">来期（</t>
    </r>
    <r>
      <rPr>
        <b val="true"/>
        <sz val="10"/>
        <color rgb="FFFFFFFF"/>
        <rFont val="Meiryo"/>
        <family val="0"/>
        <charset val="1"/>
      </rPr>
      <t xml:space="preserve">27</t>
    </r>
    <r>
      <rPr>
        <b val="true"/>
        <sz val="10"/>
        <color rgb="FFFFFFFF"/>
        <rFont val="WenQuanYi Zen Hei"/>
        <family val="2"/>
      </rPr>
      <t xml:space="preserve">年度以降）</t>
    </r>
  </si>
  <si>
    <t xml:space="preserve">商談発生額の時期別</t>
  </si>
  <si>
    <t xml:space="preserve">算出方法と定義</t>
  </si>
  <si>
    <t xml:space="preserve">■ 使うレポート</t>
  </si>
  <si>
    <t xml:space="preserve">先週分</t>
  </si>
  <si>
    <t xml:space="preserve">【要記入】レポート名と出力日時</t>
  </si>
  <si>
    <t xml:space="preserve">最新分</t>
  </si>
  <si>
    <t xml:space="preserve">抽出条件</t>
  </si>
  <si>
    <t xml:space="preserve">【要記入】レコードタイプ・除外条件（失注／テスト商談／＊原価管理用＊ など）</t>
  </si>
  <si>
    <t xml:space="preserve">■ 時期の区分</t>
  </si>
  <si>
    <t xml:space="preserve">完了予定日が対象月のもの。月次目標に対する進捗の分子はここ</t>
  </si>
  <si>
    <r>
      <rPr>
        <sz val="10"/>
        <rFont val="WenQuanYi Zen Hei"/>
        <family val="2"/>
      </rPr>
      <t xml:space="preserve">完了予定日が翌月〜今期末（</t>
    </r>
    <r>
      <rPr>
        <sz val="10"/>
        <rFont val="Meiryo"/>
        <family val="0"/>
        <charset val="1"/>
      </rPr>
      <t xml:space="preserve">2027/03/31</t>
    </r>
    <r>
      <rPr>
        <sz val="10"/>
        <rFont val="WenQuanYi Zen Hei"/>
        <family val="2"/>
      </rPr>
      <t xml:space="preserve">）のもの</t>
    </r>
  </si>
  <si>
    <r>
      <rPr>
        <b val="true"/>
        <sz val="10"/>
        <color rgb="FF1A1A1A"/>
        <rFont val="WenQuanYi Zen Hei"/>
        <family val="2"/>
      </rPr>
      <t xml:space="preserve">来期（</t>
    </r>
    <r>
      <rPr>
        <b val="true"/>
        <sz val="10"/>
        <color rgb="FF1A1A1A"/>
        <rFont val="Meiryo"/>
        <family val="0"/>
        <charset val="1"/>
      </rPr>
      <t xml:space="preserve">27</t>
    </r>
    <r>
      <rPr>
        <b val="true"/>
        <sz val="10"/>
        <color rgb="FF1A1A1A"/>
        <rFont val="WenQuanYi Zen Hei"/>
        <family val="2"/>
      </rPr>
      <t xml:space="preserve">年度以降）</t>
    </r>
  </si>
  <si>
    <r>
      <rPr>
        <sz val="10"/>
        <rFont val="WenQuanYi Zen Hei"/>
        <family val="2"/>
      </rPr>
      <t xml:space="preserve">完了予定日が</t>
    </r>
    <r>
      <rPr>
        <sz val="10"/>
        <rFont val="Meiryo"/>
        <family val="0"/>
        <charset val="1"/>
      </rPr>
      <t xml:space="preserve">2027/04/01</t>
    </r>
    <r>
      <rPr>
        <sz val="10"/>
        <rFont val="WenQuanYi Zen Hei"/>
        <family val="2"/>
      </rPr>
      <t xml:space="preserve">以降のもの</t>
    </r>
  </si>
  <si>
    <t xml:space="preserve">完了予定日が空欄。どの区分にも入らず、進捗率の分子から漏れる</t>
  </si>
  <si>
    <t xml:space="preserve">■ 指標の定義</t>
  </si>
  <si>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昇格額（正味）</t>
    </r>
  </si>
  <si>
    <r>
      <rPr>
        <sz val="10"/>
        <rFont val="WenQuanYi Zen Hei"/>
        <family val="2"/>
      </rPr>
      <t xml:space="preserve">当週に確度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・長期から 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B </t>
    </r>
    <r>
      <rPr>
        <sz val="10"/>
        <rFont val="WenQuanYi Zen Hei"/>
        <family val="2"/>
      </rPr>
      <t xml:space="preserve">へ上がった金額 − 逆に下がった金額</t>
    </r>
  </si>
  <si>
    <t xml:space="preserve">【要記入】「有効」の定義を明記（例：確度が付いている／金額が入っている など）</t>
  </si>
  <si>
    <t xml:space="preserve">当週に新規発生した商談の金額</t>
  </si>
  <si>
    <r>
      <rPr>
        <sz val="10"/>
        <rFont val="WenQuanYi Zen Hei"/>
        <family val="2"/>
      </rPr>
      <t xml:space="preserve">経過営業日数 </t>
    </r>
    <r>
      <rPr>
        <sz val="10"/>
        <rFont val="Meiryo"/>
        <family val="0"/>
        <charset val="1"/>
      </rPr>
      <t xml:space="preserve">÷ </t>
    </r>
    <r>
      <rPr>
        <sz val="10"/>
        <rFont val="WenQuanYi Zen Hei"/>
        <family val="2"/>
      </rPr>
      <t xml:space="preserve">当月の営業日数。実績の進捗率がこれを下回っていたら遅れ</t>
    </r>
  </si>
  <si>
    <t xml:space="preserve">過不足</t>
  </si>
  <si>
    <t xml:space="preserve">進捗率 − 必要進捗率。マイナスなら遅れ</t>
  </si>
  <si>
    <t xml:space="preserve">■ 月次目標</t>
  </si>
  <si>
    <r>
      <rPr>
        <sz val="10"/>
        <rFont val="Meiryo"/>
        <family val="0"/>
        <charset val="1"/>
      </rPr>
      <t xml:space="preserve">13,369</t>
    </r>
    <r>
      <rPr>
        <sz val="10"/>
        <rFont val="WenQuanYi Zen Hei"/>
        <family val="2"/>
      </rPr>
      <t xml:space="preserve">千円／月</t>
    </r>
  </si>
  <si>
    <r>
      <rPr>
        <sz val="10"/>
        <rFont val="Meiryo"/>
        <family val="0"/>
        <charset val="1"/>
      </rPr>
      <t xml:space="preserve">23</t>
    </r>
    <r>
      <rPr>
        <sz val="10"/>
        <rFont val="WenQuanYi Zen Hei"/>
        <family val="2"/>
      </rPr>
      <t xml:space="preserve">件／月</t>
    </r>
  </si>
  <si>
    <r>
      <rPr>
        <sz val="10"/>
        <rFont val="Meiryo"/>
        <family val="0"/>
        <charset val="1"/>
      </rPr>
      <t xml:space="preserve">69,000</t>
    </r>
    <r>
      <rPr>
        <sz val="10"/>
        <rFont val="WenQuanYi Zen Hei"/>
        <family val="2"/>
      </rPr>
      <t xml:space="preserve">千円／月</t>
    </r>
  </si>
  <si>
    <t xml:space="preserve">■ 配色</t>
  </si>
  <si>
    <t xml:space="preserve">カテゴリ配色</t>
  </si>
  <si>
    <r>
      <rPr>
        <sz val="10"/>
        <rFont val="Meiryo"/>
        <family val="0"/>
        <charset val="1"/>
      </rPr>
      <t xml:space="preserve">2E8B57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E09B22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3B7DD8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C0453E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8E5BC4</t>
    </r>
    <r>
      <rPr>
        <sz val="10"/>
        <rFont val="WenQuanYi Zen Hei"/>
        <family val="2"/>
      </rPr>
      <t xml:space="preserve">。色覚多様性を検証済み（</t>
    </r>
    <r>
      <rPr>
        <sz val="10"/>
        <rFont val="Meiryo"/>
        <family val="0"/>
        <charset val="1"/>
      </rPr>
      <t xml:space="preserve">CVD</t>
    </r>
    <r>
      <rPr>
        <sz val="10"/>
        <rFont val="WenQuanYi Zen Hei"/>
        <family val="2"/>
      </rPr>
      <t xml:space="preserve">分離 </t>
    </r>
    <r>
      <rPr>
        <sz val="10"/>
        <rFont val="Meiryo"/>
        <family val="0"/>
        <charset val="1"/>
      </rPr>
      <t xml:space="preserve">ΔE 12.9</t>
    </r>
    <r>
      <rPr>
        <sz val="10"/>
        <rFont val="WenQuanYi Zen Hei"/>
        <family val="2"/>
      </rPr>
      <t xml:space="preserve">）</t>
    </r>
  </si>
  <si>
    <t xml:space="preserve">見出し・強調</t>
  </si>
  <si>
    <r>
      <rPr>
        <sz val="10"/>
        <rFont val="Meiryo"/>
        <family val="0"/>
        <charset val="1"/>
      </rPr>
      <t xml:space="preserve">2C5F2D</t>
    </r>
    <r>
      <rPr>
        <sz val="10"/>
        <rFont val="WenQuanYi Zen Hei"/>
        <family val="2"/>
      </rPr>
      <t xml:space="preserve">（森）／</t>
    </r>
    <r>
      <rPr>
        <sz val="10"/>
        <rFont val="Meiryo"/>
        <family val="0"/>
        <charset val="1"/>
      </rPr>
      <t xml:space="preserve">C87941</t>
    </r>
    <r>
      <rPr>
        <sz val="10"/>
        <rFont val="WenQuanYi Zen Hei"/>
        <family val="2"/>
      </rPr>
      <t xml:space="preserve">（注意）／</t>
    </r>
    <r>
      <rPr>
        <sz val="10"/>
        <rFont val="Meiryo"/>
        <family val="0"/>
        <charset val="1"/>
      </rPr>
      <t xml:space="preserve">B04A3C</t>
    </r>
    <r>
      <rPr>
        <sz val="10"/>
        <rFont val="WenQuanYi Zen Hei"/>
        <family val="2"/>
      </rPr>
      <t xml:space="preserve">（警告）</t>
    </r>
  </si>
  <si>
    <t xml:space="preserve">※ 社内のブランドガイドラインがあれば差し替えてください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</si>
</sst>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0"/>
    <numFmt numFmtId="166" formatCode="0.0%"/>
    <numFmt numFmtId="167" formatCode="\+#,##0;\-#,##0;0"/>
    <numFmt numFmtId="168" formatCode="#,##0"/>
    <numFmt numFmtId="169" formatCode="\+0.0%;\-0.0%;0.0%"/>
    <numFmt numFmtId="170" formatCode="@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5F2D"/>
      <name val="WenQuanYi Zen Hei"/>
      <family val="2"/>
    </font>
    <font>
      <sz val="9"/>
      <color rgb="FF767676"/>
      <name val="WenQuanYi Zen Hei"/>
      <family val="2"/>
    </font>
    <font>
      <b val="true"/>
      <sz val="12.5"/>
      <color rgb="FF2C5F2D"/>
      <name val="WenQuanYi Zen Hei"/>
      <family val="2"/>
    </font>
    <font>
      <sz val="9"/>
      <color rgb="FF767676"/>
      <name val="Meiryo"/>
      <family val="0"/>
      <charset val="1"/>
    </font>
    <font>
      <sz val="10"/>
      <color rgb="FF1A1A1A"/>
      <name val="Meiryo"/>
      <family val="0"/>
      <charset val="1"/>
    </font>
    <font>
      <sz val="10"/>
      <color rgb="FF1A1A1A"/>
      <name val="WenQuanYi Zen Hei"/>
      <family val="2"/>
    </font>
    <font>
      <b val="true"/>
      <sz val="9.5"/>
      <color rgb="FF767676"/>
      <name val="Meiryo"/>
      <family val="0"/>
      <charset val="1"/>
    </font>
    <font>
      <b val="true"/>
      <sz val="9.5"/>
      <color rgb="FF767676"/>
      <name val="WenQuanYi Zen Hei"/>
      <family val="2"/>
    </font>
    <font>
      <b val="true"/>
      <sz val="24"/>
      <color rgb="FF2C5F2D"/>
      <name val="Meiryo"/>
      <family val="0"/>
      <charset val="1"/>
    </font>
    <font>
      <b val="true"/>
      <sz val="24"/>
      <color rgb="FF1A1A1A"/>
      <name val="Meiryo"/>
      <family val="0"/>
      <charset val="1"/>
    </font>
    <font>
      <sz val="8.5"/>
      <color rgb="FF767676"/>
      <name val="WenQuanYi Zen Hei"/>
      <family val="2"/>
    </font>
    <font>
      <sz val="8.5"/>
      <color rgb="FF767676"/>
      <name val="Meiryo"/>
      <family val="0"/>
      <charset val="1"/>
    </font>
    <font>
      <b val="true"/>
      <sz val="22"/>
      <color rgb="FFC87941"/>
      <name val="Meiryo"/>
      <family val="0"/>
      <charset val="1"/>
    </font>
    <font>
      <b val="true"/>
      <sz val="22"/>
      <color rgb="FFB04A3C"/>
      <name val="Meiryo"/>
      <family val="0"/>
      <charset val="1"/>
    </font>
    <font>
      <b val="true"/>
      <sz val="10.5"/>
      <color rgb="FF1A1A1A"/>
      <name val="WenQuanYi Zen Hei"/>
      <family val="2"/>
    </font>
    <font>
      <b val="true"/>
      <sz val="22"/>
      <color rgb="FF2C5F2D"/>
      <name val="Meiryo"/>
      <family val="0"/>
      <charset val="1"/>
    </font>
    <font>
      <b val="true"/>
      <sz val="22"/>
      <color rgb="FF1A1A1A"/>
      <name val="Meiryo"/>
      <family val="0"/>
      <charset val="1"/>
    </font>
    <font>
      <b val="true"/>
      <sz val="20"/>
      <color rgb="FF2C5F2D"/>
      <name val="Meiryo"/>
      <family val="0"/>
      <charset val="1"/>
    </font>
    <font>
      <b val="true"/>
      <sz val="20"/>
      <color rgb="FF1A1A1A"/>
      <name val="Meiryo"/>
      <family val="0"/>
      <charset val="1"/>
    </font>
    <font>
      <b val="true"/>
      <sz val="20"/>
      <color rgb="FFB04A3C"/>
      <name val="Meiryo"/>
      <family val="0"/>
      <charset val="1"/>
    </font>
    <font>
      <b val="true"/>
      <sz val="24"/>
      <color rgb="FFB04A3C"/>
      <name val="Meiryo"/>
      <family val="0"/>
      <charset val="1"/>
    </font>
    <font>
      <b val="true"/>
      <sz val="10"/>
      <color rgb="FFB04A3C"/>
      <name val="WenQuanYi Zen Hei"/>
      <family val="2"/>
    </font>
    <font>
      <b val="true"/>
      <sz val="10"/>
      <color rgb="FF767676"/>
      <name val="Meiryo"/>
      <family val="0"/>
      <charset val="1"/>
    </font>
    <font>
      <b val="true"/>
      <sz val="10"/>
      <color rgb="FF767676"/>
      <name val="WenQuanYi Zen He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3"/>
      <color rgb="FF2C5F2D"/>
      <name val="WenQuanYi Zen Hei"/>
      <family val="2"/>
    </font>
    <font>
      <b val="true"/>
      <sz val="11"/>
      <color rgb="FF2C5F2D"/>
      <name val="Meiryo"/>
      <family val="0"/>
      <charset val="1"/>
    </font>
    <font>
      <b val="true"/>
      <sz val="11"/>
      <color rgb="FF2C5F2D"/>
      <name val="WenQuanYi Zen Hei"/>
      <family val="2"/>
    </font>
    <font>
      <b val="true"/>
      <sz val="10"/>
      <color rgb="FF1A1A1A"/>
      <name val="WenQuanYi Zen Hei"/>
      <family val="2"/>
    </font>
    <font>
      <sz val="10"/>
      <color rgb="FF0000FF"/>
      <name val="Meiryo"/>
      <family val="0"/>
      <charset val="1"/>
    </font>
    <font>
      <sz val="10"/>
      <color rgb="FF0000FF"/>
      <name val="WenQuanYi Zen Hei"/>
      <family val="2"/>
    </font>
    <font>
      <b val="true"/>
      <sz val="10"/>
      <color rgb="FF1A1A1A"/>
      <name val="Meiryo"/>
      <family val="0"/>
      <charset val="1"/>
    </font>
    <font>
      <b val="true"/>
      <sz val="10"/>
      <name val="Meiryo"/>
      <family val="0"/>
      <charset val="1"/>
    </font>
    <font>
      <b val="true"/>
      <sz val="10"/>
      <color rgb="FFFFFFFF"/>
      <name val="WenQuanYi Zen Hei"/>
      <family val="2"/>
    </font>
    <font>
      <sz val="10"/>
      <name val="Meiryo"/>
      <family val="0"/>
      <charset val="1"/>
    </font>
    <font>
      <sz val="9"/>
      <color rgb="FFB04A3C"/>
      <name val="WenQuanYi Zen Hei"/>
      <family val="2"/>
    </font>
    <font>
      <sz val="10"/>
      <name val="WenQuanYi Zen Hei"/>
      <family val="2"/>
    </font>
    <font>
      <b val="true"/>
      <sz val="10"/>
      <color rgb="FF2C5F2D"/>
      <name val="Meiryo"/>
      <family val="0"/>
      <charset val="1"/>
    </font>
    <font>
      <b val="true"/>
      <sz val="10"/>
      <color rgb="FF2C5F2D"/>
      <name val="WenQuanYi Zen Hei"/>
      <family val="2"/>
    </font>
    <font>
      <b val="true"/>
      <sz val="10"/>
      <color rgb="FFFFFFFF"/>
      <name val="Meiry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8DC"/>
        <bgColor rgb="FFF4F6F1"/>
      </patternFill>
    </fill>
    <fill>
      <patternFill patternType="solid">
        <fgColor rgb="FFEBF3EA"/>
        <bgColor rgb="FFF4F6F1"/>
      </patternFill>
    </fill>
    <fill>
      <patternFill patternType="solid">
        <fgColor rgb="FFF4F6F1"/>
        <bgColor rgb="FFEBF3EA"/>
      </patternFill>
    </fill>
    <fill>
      <patternFill patternType="solid">
        <fgColor rgb="FFFBEDEB"/>
        <bgColor rgb="FFF4F6F1"/>
      </patternFill>
    </fill>
    <fill>
      <patternFill patternType="solid">
        <fgColor rgb="FFFFFF00"/>
        <bgColor rgb="FFFFFF00"/>
      </patternFill>
    </fill>
    <fill>
      <patternFill patternType="solid">
        <fgColor rgb="FF2C5F2D"/>
        <bgColor rgb="FF2E8B5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8D9A0"/>
      </left>
      <right style="thin">
        <color rgb="FFE8D9A0"/>
      </right>
      <top style="thin">
        <color rgb="FFE8D9A0"/>
      </top>
      <bottom style="thin">
        <color rgb="FFE8D9A0"/>
      </bottom>
      <diagonal/>
    </border>
    <border diagonalUp="false" diagonalDown="false">
      <left style="thin">
        <color rgb="FFC3DCC2"/>
      </left>
      <right style="thin">
        <color rgb="FFC3DCC2"/>
      </right>
      <top style="thin">
        <color rgb="FFC3DCC2"/>
      </top>
      <bottom style="thin">
        <color rgb="FFC3DCC2"/>
      </bottom>
      <diagonal/>
    </border>
    <border diagonalUp="false" diagonalDown="false">
      <left style="thin">
        <color rgb="FFDCE3D5"/>
      </left>
      <right style="thin">
        <color rgb="FFDCE3D5"/>
      </right>
      <top style="thin">
        <color rgb="FFDCE3D5"/>
      </top>
      <bottom style="thin">
        <color rgb="FFDCE3D5"/>
      </bottom>
      <diagonal/>
    </border>
    <border diagonalUp="false" diagonalDown="false">
      <left style="thin">
        <color rgb="FFEBCFC9"/>
      </left>
      <right style="thin">
        <color rgb="FFEBCFC9"/>
      </right>
      <top style="thin">
        <color rgb="FFEBCFC9"/>
      </top>
      <bottom style="thin">
        <color rgb="FFEBCF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CC2"/>
      <rgbColor rgb="FF878787"/>
      <rgbColor rgb="FF9999FF"/>
      <rgbColor rgb="FFB04A3C"/>
      <rgbColor rgb="FFFFF8DC"/>
      <rgbColor rgb="FFEBF3EA"/>
      <rgbColor rgb="FF660066"/>
      <rgbColor rgb="FFC8794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1"/>
      <rgbColor rgb="FFDCE3D5"/>
      <rgbColor rgb="FFFBEDEB"/>
      <rgbColor rgb="FF99CCFF"/>
      <rgbColor rgb="FFEBCFC9"/>
      <rgbColor rgb="FFCC99FF"/>
      <rgbColor rgb="FFE8D9A0"/>
      <rgbColor rgb="FF3B7DD8"/>
      <rgbColor rgb="FF33CCCC"/>
      <rgbColor rgb="FF99CC00"/>
      <rgbColor rgb="FFFFCC00"/>
      <rgbColor rgb="FFE09B22"/>
      <rgbColor rgb="FFFF6600"/>
      <rgbColor rgb="FF767676"/>
      <rgbColor rgb="FF969696"/>
      <rgbColor rgb="FF003366"/>
      <rgbColor rgb="FF2E8B57"/>
      <rgbColor rgb="FF003300"/>
      <rgbColor rgb="FF2C5F2D"/>
      <rgbColor rgb="FF993300"/>
      <rgbColor rgb="FFC0453E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月次目標に対する進捗率（当月完了予定分）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グラフ用データ!B4</c:f>
              <c:strCache>
                <c:ptCount val="1"/>
                <c:pt idx="0">
                  <c:v>進捗率</c:v>
                </c:pt>
              </c:strCache>
            </c:strRef>
          </c:tx>
          <c:spPr>
            <a:solidFill>
              <a:srgbClr val="2e8b5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グラフ用データ!$A$5:$A$7</c:f>
              <c:strCache>
                <c:ptCount val="3"/>
                <c:pt idx="0">
                  <c:v>AB昇格額（正味）</c:v>
                </c:pt>
                <c:pt idx="1">
                  <c:v>商談獲得 有効件数</c:v>
                </c:pt>
                <c:pt idx="2">
                  <c:v>商談発生額</c:v>
                </c:pt>
              </c:strCache>
            </c:strRef>
          </c:cat>
          <c:val>
            <c:numRef>
              <c:f>グラフ用データ!$B$5:$B$7</c:f>
              <c:numCache>
                <c:formatCode>0.0%</c:formatCode>
                <c:ptCount val="3"/>
                <c:pt idx="0">
                  <c:v>0.308175630189244</c:v>
                </c:pt>
                <c:pt idx="1">
                  <c:v>0.347826086956522</c:v>
                </c:pt>
                <c:pt idx="2">
                  <c:v>0.273913043478261</c:v>
                </c:pt>
              </c:numCache>
            </c:numRef>
          </c:val>
        </c:ser>
        <c:ser>
          <c:idx val="1"/>
          <c:order val="1"/>
          <c:tx>
            <c:strRef>
              <c:f>グラフ用データ!C4</c:f>
              <c:strCache>
                <c:ptCount val="1"/>
                <c:pt idx="0">
                  <c:v>必要進捗率</c:v>
                </c:pt>
              </c:strCache>
            </c:strRef>
          </c:tx>
          <c:spPr>
            <a:solidFill>
              <a:srgbClr val="e09b22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グラフ用データ!$A$5:$A$7</c:f>
              <c:strCache>
                <c:ptCount val="3"/>
                <c:pt idx="0">
                  <c:v>AB昇格額（正味）</c:v>
                </c:pt>
                <c:pt idx="1">
                  <c:v>商談獲得 有効件数</c:v>
                </c:pt>
                <c:pt idx="2">
                  <c:v>商談発生額</c:v>
                </c:pt>
              </c:strCache>
            </c:strRef>
          </c:cat>
          <c:val>
            <c:numRef>
              <c:f>グラフ用データ!$C$5:$C$7</c:f>
              <c:numCache>
                <c:formatCode>0.0%</c:formatCode>
                <c:ptCount val="3"/>
                <c:pt idx="0">
                  <c:v>0.333333333333333</c:v>
                </c:pt>
                <c:pt idx="1">
                  <c:v>0.333333333333333</c:v>
                </c:pt>
                <c:pt idx="2">
                  <c:v>0.333333333333333</c:v>
                </c:pt>
              </c:numCache>
            </c:numRef>
          </c:val>
        </c:ser>
        <c:gapWidth val="60"/>
        <c:overlap val="0"/>
        <c:axId val="49231885"/>
        <c:axId val="37103753"/>
      </c:barChart>
      <c:catAx>
        <c:axId val="49231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03753"/>
        <c:crosses val="autoZero"/>
        <c:auto val="1"/>
        <c:lblAlgn val="ctr"/>
        <c:lblOffset val="100"/>
        <c:noMultiLvlLbl val="0"/>
      </c:catAx>
      <c:valAx>
        <c:axId val="3710375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31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AB昇格額（正味）の時期別構成　先週 → 今週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グラフ用データ!B10</c:f>
              <c:strCache>
                <c:ptCount val="1"/>
                <c:pt idx="0">
                  <c:v>当月（対象月）</c:v>
                </c:pt>
              </c:strCache>
            </c:strRef>
          </c:tx>
          <c:spPr>
            <a:solidFill>
              <a:srgbClr val="2e8b5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グラフ用データ!$A$11:$A$12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グラフ用データ!$B$11:$B$12</c:f>
              <c:numCache>
                <c:formatCode>#,##0;\-#,##0;0</c:formatCode>
                <c:ptCount val="2"/>
                <c:pt idx="0">
                  <c:v>2840</c:v>
                </c:pt>
                <c:pt idx="1">
                  <c:v>4120</c:v>
                </c:pt>
              </c:numCache>
            </c:numRef>
          </c:val>
        </c:ser>
        <c:ser>
          <c:idx val="1"/>
          <c:order val="1"/>
          <c:tx>
            <c:strRef>
              <c:f>グラフ用データ!C10</c:f>
              <c:strCache>
                <c:ptCount val="1"/>
                <c:pt idx="0">
                  <c:v>来月以降（今期内）</c:v>
                </c:pt>
              </c:strCache>
            </c:strRef>
          </c:tx>
          <c:spPr>
            <a:solidFill>
              <a:srgbClr val="e09b22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グラフ用データ!$A$11:$A$12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グラフ用データ!$C$11:$C$12</c:f>
              <c:numCache>
                <c:formatCode>#,##0;\-#,##0;0</c:formatCode>
                <c:ptCount val="2"/>
                <c:pt idx="0">
                  <c:v>5600</c:v>
                </c:pt>
                <c:pt idx="1">
                  <c:v>7350</c:v>
                </c:pt>
              </c:numCache>
            </c:numRef>
          </c:val>
        </c:ser>
        <c:ser>
          <c:idx val="2"/>
          <c:order val="2"/>
          <c:tx>
            <c:strRef>
              <c:f>グラフ用データ!D10</c:f>
              <c:strCache>
                <c:ptCount val="1"/>
                <c:pt idx="0">
                  <c:v>来期（27年度以降）</c:v>
                </c:pt>
              </c:strCache>
            </c:strRef>
          </c:tx>
          <c:spPr>
            <a:solidFill>
              <a:srgbClr val="3b7dd8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グラフ用データ!$A$11:$A$12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グラフ用データ!$D$11:$D$12</c:f>
              <c:numCache>
                <c:formatCode>#,##0;\-#,##0;0</c:formatCode>
                <c:ptCount val="2"/>
                <c:pt idx="0">
                  <c:v>0</c:v>
                </c:pt>
                <c:pt idx="1">
                  <c:v>1128</c:v>
                </c:pt>
              </c:numCache>
            </c:numRef>
          </c:val>
        </c:ser>
        <c:ser>
          <c:idx val="3"/>
          <c:order val="3"/>
          <c:tx>
            <c:strRef>
              <c:f>グラフ用データ!E10</c:f>
              <c:strCache>
                <c:ptCount val="1"/>
                <c:pt idx="0">
                  <c:v>完了予定日 未入力</c:v>
                </c:pt>
              </c:strCache>
            </c:strRef>
          </c:tx>
          <c:spPr>
            <a:solidFill>
              <a:srgbClr val="c0453e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グラフ用データ!$A$11:$A$12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グラフ用データ!$E$11:$E$12</c:f>
              <c:numCache>
                <c:formatCode>#,##0;\-#,##0;0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60"/>
        <c:overlap val="100"/>
        <c:axId val="95161595"/>
        <c:axId val="40201720"/>
      </c:barChart>
      <c:catAx>
        <c:axId val="951615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01720"/>
        <c:crosses val="autoZero"/>
        <c:auto val="1"/>
        <c:lblAlgn val="ctr"/>
        <c:lblOffset val="100"/>
        <c:noMultiLvlLbl val="0"/>
      </c:catAx>
      <c:valAx>
        <c:axId val="40201720"/>
        <c:scaling>
          <c:orientation val="minMax"/>
        </c:scaling>
        <c:delete val="0"/>
        <c:axPos val="l"/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615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商談発生額の時期別構成　先週 → 今週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グラフ用データ!B15</c:f>
              <c:strCache>
                <c:ptCount val="1"/>
                <c:pt idx="0">
                  <c:v>当月（対象月）</c:v>
                </c:pt>
              </c:strCache>
            </c:strRef>
          </c:tx>
          <c:spPr>
            <a:solidFill>
              <a:srgbClr val="2e8b5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グラフ用データ!$A$16:$A$17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グラフ用データ!$B$16:$B$17</c:f>
              <c:numCache>
                <c:formatCode>#,##0;\-#,##0;0</c:formatCode>
                <c:ptCount val="2"/>
                <c:pt idx="0">
                  <c:v>12400</c:v>
                </c:pt>
                <c:pt idx="1">
                  <c:v>18900</c:v>
                </c:pt>
              </c:numCache>
            </c:numRef>
          </c:val>
        </c:ser>
        <c:ser>
          <c:idx val="1"/>
          <c:order val="1"/>
          <c:tx>
            <c:strRef>
              <c:f>グラフ用データ!C15</c:f>
              <c:strCache>
                <c:ptCount val="1"/>
                <c:pt idx="0">
                  <c:v>来月以降（今期内）</c:v>
                </c:pt>
              </c:strCache>
            </c:strRef>
          </c:tx>
          <c:spPr>
            <a:solidFill>
              <a:srgbClr val="e09b22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グラフ用データ!$A$16:$A$17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グラフ用データ!$C$16:$C$17</c:f>
              <c:numCache>
                <c:formatCode>#,##0;\-#,##0;0</c:formatCode>
                <c:ptCount val="2"/>
                <c:pt idx="0">
                  <c:v>9800</c:v>
                </c:pt>
                <c:pt idx="1">
                  <c:v>14200</c:v>
                </c:pt>
              </c:numCache>
            </c:numRef>
          </c:val>
        </c:ser>
        <c:ser>
          <c:idx val="2"/>
          <c:order val="2"/>
          <c:tx>
            <c:strRef>
              <c:f>グラフ用データ!D15</c:f>
              <c:strCache>
                <c:ptCount val="1"/>
                <c:pt idx="0">
                  <c:v>来期（27年度以降）</c:v>
                </c:pt>
              </c:strCache>
            </c:strRef>
          </c:tx>
          <c:spPr>
            <a:solidFill>
              <a:srgbClr val="3b7dd8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グラフ用データ!$A$16:$A$17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グラフ用データ!$D$16:$D$17</c:f>
              <c:numCache>
                <c:formatCode>#,##0;\-#,##0;0</c:formatCode>
                <c:ptCount val="2"/>
                <c:pt idx="0">
                  <c:v>2000</c:v>
                </c:pt>
                <c:pt idx="1">
                  <c:v>5834</c:v>
                </c:pt>
              </c:numCache>
            </c:numRef>
          </c:val>
        </c:ser>
        <c:ser>
          <c:idx val="3"/>
          <c:order val="3"/>
          <c:tx>
            <c:strRef>
              <c:f>グラフ用データ!E15</c:f>
              <c:strCache>
                <c:ptCount val="1"/>
                <c:pt idx="0">
                  <c:v>完了予定日 未入力</c:v>
                </c:pt>
              </c:strCache>
            </c:strRef>
          </c:tx>
          <c:spPr>
            <a:solidFill>
              <a:srgbClr val="c0453e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グラフ用データ!$A$16:$A$17</c:f>
              <c:strCache>
                <c:ptCount val="2"/>
                <c:pt idx="0">
                  <c:v>先週</c:v>
                </c:pt>
                <c:pt idx="1">
                  <c:v>今週</c:v>
                </c:pt>
              </c:strCache>
            </c:strRef>
          </c:cat>
          <c:val>
            <c:numRef>
              <c:f>グラフ用データ!$E$16:$E$17</c:f>
              <c:numCache>
                <c:formatCode>#,##0;\-#,##0;0</c:formatCode>
                <c:ptCount val="2"/>
                <c:pt idx="0">
                  <c:v>1500</c:v>
                </c:pt>
                <c:pt idx="1">
                  <c:v>2300</c:v>
                </c:pt>
              </c:numCache>
            </c:numRef>
          </c:val>
        </c:ser>
        <c:gapWidth val="60"/>
        <c:overlap val="100"/>
        <c:axId val="96127763"/>
        <c:axId val="85888441"/>
      </c:barChart>
      <c:catAx>
        <c:axId val="961277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88441"/>
        <c:crosses val="autoZero"/>
        <c:auto val="1"/>
        <c:lblAlgn val="ctr"/>
        <c:lblOffset val="100"/>
        <c:noMultiLvlLbl val="0"/>
      </c:catAx>
      <c:valAx>
        <c:axId val="85888441"/>
        <c:scaling>
          <c:orientation val="minMax"/>
        </c:scaling>
        <c:delete val="0"/>
        <c:axPos val="l"/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27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12</xdr:col>
      <xdr:colOff>163440</xdr:colOff>
      <xdr:row>42</xdr:row>
      <xdr:rowOff>68760</xdr:rowOff>
    </xdr:to>
    <xdr:graphicFrame>
      <xdr:nvGraphicFramePr>
        <xdr:cNvPr id="0" name="Chart 1"/>
        <xdr:cNvGraphicFramePr/>
      </xdr:nvGraphicFramePr>
      <xdr:xfrm>
        <a:off x="154800" y="742968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12</xdr:col>
      <xdr:colOff>163440</xdr:colOff>
      <xdr:row>72</xdr:row>
      <xdr:rowOff>68400</xdr:rowOff>
    </xdr:to>
    <xdr:graphicFrame>
      <xdr:nvGraphicFramePr>
        <xdr:cNvPr id="1" name="Chart 2"/>
        <xdr:cNvGraphicFramePr/>
      </xdr:nvGraphicFramePr>
      <xdr:xfrm>
        <a:off x="154800" y="1446840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73</xdr:row>
      <xdr:rowOff>0</xdr:rowOff>
    </xdr:from>
    <xdr:to>
      <xdr:col>12</xdr:col>
      <xdr:colOff>163440</xdr:colOff>
      <xdr:row>87</xdr:row>
      <xdr:rowOff>68760</xdr:rowOff>
    </xdr:to>
    <xdr:graphicFrame>
      <xdr:nvGraphicFramePr>
        <xdr:cNvPr id="2" name="Chart 3"/>
        <xdr:cNvGraphicFramePr/>
      </xdr:nvGraphicFramePr>
      <xdr:xfrm>
        <a:off x="154800" y="1732608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13" min="2" style="0" width="11.39"/>
    <col collapsed="false" customWidth="true" hidden="false" outlineLevel="0" max="14" min="14" style="0" width="2.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tr">
        <f aca="false">"【デモ】テスト数字　／　対象月 "&amp;入力!B5&amp;"　／　比較： "&amp;入力!B14&amp;" → "&amp;入力!B15&amp;"　／　単位：千円　／　経過 "&amp;入力!B10&amp;" / "&amp;入力!B9&amp;" 営業日"</f>
        <v>【デモ】テスト数字　／　対象月 2026年10月　／　比較： 2026/10/03 → 2026/10/10　／　単位：千円　／　経過 7 / 21 営業日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27" hidden="false" customHeight="true" outlineLevel="0" collapsed="false"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true" outlineLevel="0" collapsed="false">
      <c r="B6" s="4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8" hidden="false" customHeight="true" outlineLevel="0" collapsed="false"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8" hidden="false" customHeight="true" outlineLevel="0" collapsed="false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8" hidden="false" customHeight="true" outlineLevel="0" collapsed="false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1" customFormat="false" ht="27" hidden="false" customHeight="true" outlineLevel="0" collapsed="false">
      <c r="B11" s="3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true" outlineLevel="0" collapsed="false">
      <c r="B12" s="2" t="s">
        <v>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6.5" hidden="false" customHeight="true" outlineLevel="0" collapsed="false">
      <c r="B13" s="6" t="s">
        <v>6</v>
      </c>
      <c r="C13" s="6"/>
      <c r="D13" s="6"/>
      <c r="E13" s="7" t="s">
        <v>7</v>
      </c>
      <c r="F13" s="7"/>
      <c r="G13" s="7"/>
      <c r="H13" s="8" t="s">
        <v>8</v>
      </c>
      <c r="I13" s="8"/>
      <c r="J13" s="8"/>
      <c r="K13" s="8" t="s">
        <v>9</v>
      </c>
      <c r="L13" s="8"/>
      <c r="M13" s="8"/>
    </row>
    <row r="14" customFormat="false" ht="33.75" hidden="false" customHeight="true" outlineLevel="0" collapsed="false">
      <c r="B14" s="9" t="n">
        <f aca="false">入力!C19</f>
        <v>4120</v>
      </c>
      <c r="C14" s="9"/>
      <c r="D14" s="9"/>
      <c r="E14" s="10" t="n">
        <f aca="false">入力!B6</f>
        <v>13369</v>
      </c>
      <c r="F14" s="10"/>
      <c r="G14" s="10"/>
      <c r="H14" s="11" t="n">
        <f aca="false">IFERROR(入力!C19/入力!B6,0)</f>
        <v>0.308175630189244</v>
      </c>
      <c r="I14" s="11"/>
      <c r="J14" s="11"/>
      <c r="K14" s="12" t="n">
        <f aca="false">入力!D19</f>
        <v>1280</v>
      </c>
      <c r="L14" s="12"/>
      <c r="M14" s="12"/>
    </row>
    <row r="15" customFormat="false" ht="24" hidden="false" customHeight="true" outlineLevel="0" collapsed="false">
      <c r="B15" s="13" t="s">
        <v>10</v>
      </c>
      <c r="C15" s="13"/>
      <c r="D15" s="13"/>
      <c r="E15" s="14" t="s">
        <v>11</v>
      </c>
      <c r="F15" s="14"/>
      <c r="G15" s="14"/>
      <c r="H15" s="13" t="s">
        <v>12</v>
      </c>
      <c r="I15" s="13"/>
      <c r="J15" s="13"/>
      <c r="K15" s="13" t="s">
        <v>13</v>
      </c>
      <c r="L15" s="13"/>
      <c r="M15" s="13"/>
    </row>
    <row r="17" customFormat="false" ht="16.5" hidden="false" customHeight="true" outlineLevel="0" collapsed="false">
      <c r="B17" s="8" t="s">
        <v>14</v>
      </c>
      <c r="C17" s="8"/>
      <c r="D17" s="8"/>
      <c r="E17" s="7" t="s">
        <v>7</v>
      </c>
      <c r="F17" s="7"/>
      <c r="G17" s="7"/>
      <c r="H17" s="8" t="s">
        <v>8</v>
      </c>
      <c r="I17" s="8"/>
      <c r="J17" s="8"/>
      <c r="K17" s="8" t="s">
        <v>9</v>
      </c>
      <c r="L17" s="8"/>
      <c r="M17" s="8"/>
    </row>
    <row r="18" customFormat="false" ht="33.75" hidden="false" customHeight="true" outlineLevel="0" collapsed="false">
      <c r="B18" s="15" t="n">
        <f aca="false">入力!C27</f>
        <v>8</v>
      </c>
      <c r="C18" s="15"/>
      <c r="D18" s="15"/>
      <c r="E18" s="16" t="n">
        <f aca="false">入力!B7</f>
        <v>23</v>
      </c>
      <c r="F18" s="16"/>
      <c r="G18" s="16"/>
      <c r="H18" s="11" t="n">
        <f aca="false">IFERROR(入力!C27/入力!B7,0)</f>
        <v>0.347826086956522</v>
      </c>
      <c r="I18" s="11"/>
      <c r="J18" s="11"/>
      <c r="K18" s="12" t="n">
        <f aca="false">入力!D27</f>
        <v>3</v>
      </c>
      <c r="L18" s="12"/>
      <c r="M18" s="12"/>
    </row>
    <row r="19" customFormat="false" ht="24" hidden="false" customHeight="true" outlineLevel="0" collapsed="false">
      <c r="B19" s="13" t="s">
        <v>10</v>
      </c>
      <c r="C19" s="13"/>
      <c r="D19" s="13"/>
      <c r="E19" s="14" t="s">
        <v>15</v>
      </c>
      <c r="F19" s="14"/>
      <c r="G19" s="14"/>
      <c r="H19" s="13" t="s">
        <v>12</v>
      </c>
      <c r="I19" s="13"/>
      <c r="J19" s="13"/>
      <c r="K19" s="13" t="s">
        <v>13</v>
      </c>
      <c r="L19" s="13"/>
      <c r="M19" s="13"/>
    </row>
    <row r="21" customFormat="false" ht="16.5" hidden="false" customHeight="true" outlineLevel="0" collapsed="false">
      <c r="B21" s="8" t="s">
        <v>16</v>
      </c>
      <c r="C21" s="8"/>
      <c r="D21" s="8"/>
      <c r="E21" s="7" t="s">
        <v>7</v>
      </c>
      <c r="F21" s="7"/>
      <c r="G21" s="7"/>
      <c r="H21" s="8" t="s">
        <v>8</v>
      </c>
      <c r="I21" s="8"/>
      <c r="J21" s="8"/>
      <c r="K21" s="8" t="s">
        <v>9</v>
      </c>
      <c r="L21" s="8"/>
      <c r="M21" s="8"/>
    </row>
    <row r="22" customFormat="false" ht="33.75" hidden="false" customHeight="true" outlineLevel="0" collapsed="false">
      <c r="B22" s="9" t="n">
        <f aca="false">入力!C35</f>
        <v>18900</v>
      </c>
      <c r="C22" s="9"/>
      <c r="D22" s="9"/>
      <c r="E22" s="10" t="n">
        <f aca="false">入力!B8</f>
        <v>69000</v>
      </c>
      <c r="F22" s="10"/>
      <c r="G22" s="10"/>
      <c r="H22" s="11" t="n">
        <f aca="false">IFERROR(入力!C35/入力!B8,0)</f>
        <v>0.273913043478261</v>
      </c>
      <c r="I22" s="11"/>
      <c r="J22" s="11"/>
      <c r="K22" s="12" t="n">
        <f aca="false">入力!D35</f>
        <v>6500</v>
      </c>
      <c r="L22" s="12"/>
      <c r="M22" s="12"/>
    </row>
    <row r="23" customFormat="false" ht="24" hidden="false" customHeight="true" outlineLevel="0" collapsed="false">
      <c r="B23" s="13" t="s">
        <v>10</v>
      </c>
      <c r="C23" s="13"/>
      <c r="D23" s="13"/>
      <c r="E23" s="14" t="s">
        <v>17</v>
      </c>
      <c r="F23" s="14"/>
      <c r="G23" s="14"/>
      <c r="H23" s="13" t="s">
        <v>12</v>
      </c>
      <c r="I23" s="13"/>
      <c r="J23" s="13"/>
      <c r="K23" s="13" t="s">
        <v>13</v>
      </c>
      <c r="L23" s="13"/>
      <c r="M23" s="13"/>
    </row>
    <row r="25" customFormat="false" ht="16.5" hidden="false" customHeight="true" outlineLevel="0" collapsed="false">
      <c r="B25" s="7" t="s">
        <v>18</v>
      </c>
      <c r="C25" s="7"/>
      <c r="D25" s="7"/>
      <c r="E25" s="17" t="s">
        <v>19</v>
      </c>
      <c r="F25" s="17"/>
      <c r="G25" s="17"/>
      <c r="H25" s="18" t="s">
        <v>20</v>
      </c>
      <c r="I25" s="18"/>
      <c r="J25" s="18"/>
      <c r="K25" s="18" t="s">
        <v>21</v>
      </c>
      <c r="L25" s="18"/>
      <c r="M25" s="18"/>
    </row>
    <row r="26" customFormat="false" ht="33.75" hidden="false" customHeight="true" outlineLevel="0" collapsed="false">
      <c r="B26" s="19" t="n">
        <f aca="false">入力!B11</f>
        <v>0.333333333333333</v>
      </c>
      <c r="C26" s="19"/>
      <c r="D26" s="19"/>
      <c r="E26" s="20" t="n">
        <f aca="false">IFERROR(入力!C19/入力!B6,0)-入力!B11</f>
        <v>-0.0251577031440896</v>
      </c>
      <c r="F26" s="20"/>
      <c r="G26" s="20"/>
      <c r="H26" s="20" t="n">
        <f aca="false">IFERROR(入力!C27/入力!B7,0)-入力!B11</f>
        <v>0.0144927536231884</v>
      </c>
      <c r="I26" s="20"/>
      <c r="J26" s="20"/>
      <c r="K26" s="20" t="n">
        <f aca="false">IFERROR(入力!C35/入力!B8,0)-入力!B11</f>
        <v>-0.0594202898550725</v>
      </c>
      <c r="L26" s="20"/>
      <c r="M26" s="20"/>
    </row>
    <row r="27" customFormat="false" ht="24" hidden="false" customHeight="true" outlineLevel="0" collapsed="false">
      <c r="B27" s="21" t="s">
        <v>22</v>
      </c>
      <c r="C27" s="21"/>
      <c r="D27" s="21"/>
      <c r="E27" s="22" t="s">
        <v>23</v>
      </c>
      <c r="F27" s="22"/>
      <c r="G27" s="22"/>
      <c r="H27" s="22" t="s">
        <v>23</v>
      </c>
      <c r="I27" s="22"/>
      <c r="J27" s="22"/>
      <c r="K27" s="22" t="s">
        <v>23</v>
      </c>
      <c r="L27" s="22"/>
      <c r="M27" s="22"/>
    </row>
    <row r="44" customFormat="false" ht="19.5" hidden="false" customHeight="true" outlineLevel="0" collapsed="false">
      <c r="B44" s="23" t="s">
        <v>24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customFormat="false" ht="16.5" hidden="false" customHeight="true" outlineLevel="0" collapsed="false">
      <c r="B45" s="6" t="s">
        <v>25</v>
      </c>
      <c r="C45" s="6"/>
      <c r="D45" s="6"/>
      <c r="E45" s="24" t="s">
        <v>26</v>
      </c>
      <c r="F45" s="24"/>
      <c r="G45" s="24"/>
      <c r="H45" s="8" t="s">
        <v>27</v>
      </c>
      <c r="I45" s="8"/>
      <c r="J45" s="8"/>
      <c r="K45" s="7" t="s">
        <v>28</v>
      </c>
      <c r="L45" s="7"/>
      <c r="M45" s="7"/>
    </row>
    <row r="46" customFormat="false" ht="33.75" hidden="false" customHeight="true" outlineLevel="0" collapsed="false">
      <c r="B46" s="25" t="n">
        <f aca="false">入力!C43</f>
        <v>99318</v>
      </c>
      <c r="C46" s="25"/>
      <c r="D46" s="25"/>
      <c r="E46" s="26" t="n">
        <f aca="false">入力!C44</f>
        <v>183800</v>
      </c>
      <c r="F46" s="26"/>
      <c r="G46" s="26"/>
      <c r="H46" s="25" t="n">
        <f aca="false">入力!C45</f>
        <v>283418</v>
      </c>
      <c r="I46" s="25"/>
      <c r="J46" s="25"/>
      <c r="K46" s="27" t="n">
        <f aca="false">入力!C46</f>
        <v>235</v>
      </c>
      <c r="L46" s="27"/>
      <c r="M46" s="27"/>
    </row>
    <row r="47" customFormat="false" ht="24" hidden="false" customHeight="true" outlineLevel="0" collapsed="false">
      <c r="B47" s="13" t="str">
        <f aca="false">"先週比 "&amp;TEXT(入力!D43,"+#,##0;-#,##0;0")</f>
        <v>先週比 +4,118</v>
      </c>
      <c r="C47" s="13"/>
      <c r="D47" s="13"/>
      <c r="E47" s="21" t="str">
        <f aca="false">"先週比 "&amp;TEXT(入力!D44,"+#,##0;-#,##0;0")</f>
        <v>先週比 -1,600</v>
      </c>
      <c r="F47" s="21"/>
      <c r="G47" s="21"/>
      <c r="H47" s="13" t="str">
        <f aca="false">"先週比 "&amp;TEXT(入力!D45,"+#,##0;-#,##0;0")</f>
        <v>先週比 +2,518</v>
      </c>
      <c r="I47" s="13"/>
      <c r="J47" s="13"/>
      <c r="K47" s="21" t="str">
        <f aca="false">"先週比 "&amp;TEXT(入力!D46,"+#,##0;-#,##0;0")&amp;"件"</f>
        <v>先週比 +5件</v>
      </c>
      <c r="L47" s="21"/>
      <c r="M47" s="21"/>
    </row>
    <row r="49" customFormat="false" ht="27" hidden="false" customHeight="true" outlineLevel="0" collapsed="false">
      <c r="B49" s="3" t="s">
        <v>29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5" hidden="false" customHeight="true" outlineLevel="0" collapsed="false">
      <c r="B50" s="2" t="s">
        <v>30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6.5" hidden="false" customHeight="true" outlineLevel="0" collapsed="false">
      <c r="B51" s="6" t="s">
        <v>31</v>
      </c>
      <c r="C51" s="6"/>
      <c r="D51" s="7" t="s">
        <v>32</v>
      </c>
      <c r="E51" s="7"/>
      <c r="F51" s="7" t="s">
        <v>33</v>
      </c>
      <c r="G51" s="7"/>
      <c r="H51" s="18" t="s">
        <v>34</v>
      </c>
      <c r="I51" s="18"/>
      <c r="J51" s="8" t="s">
        <v>35</v>
      </c>
      <c r="K51" s="8"/>
      <c r="L51" s="8"/>
      <c r="M51" s="8"/>
    </row>
    <row r="52" customFormat="false" ht="33.75" hidden="false" customHeight="true" outlineLevel="0" collapsed="false">
      <c r="B52" s="28" t="n">
        <f aca="false">入力!C19</f>
        <v>4120</v>
      </c>
      <c r="C52" s="28"/>
      <c r="D52" s="29" t="n">
        <f aca="false">入力!C20</f>
        <v>7350</v>
      </c>
      <c r="E52" s="29"/>
      <c r="F52" s="29" t="n">
        <f aca="false">入力!C21</f>
        <v>1128</v>
      </c>
      <c r="G52" s="29"/>
      <c r="H52" s="30" t="n">
        <f aca="false">入力!C22</f>
        <v>0</v>
      </c>
      <c r="I52" s="30"/>
      <c r="J52" s="28" t="n">
        <f aca="false">入力!C23</f>
        <v>12598</v>
      </c>
      <c r="K52" s="28"/>
      <c r="L52" s="28"/>
      <c r="M52" s="28"/>
    </row>
    <row r="53" customFormat="false" ht="24" hidden="false" customHeight="true" outlineLevel="0" collapsed="false">
      <c r="B53" s="13" t="str">
        <f aca="false">"先週比 "&amp;TEXT(入力!D19,"+#,##0;-#,##0;0")</f>
        <v>先週比 +1,280</v>
      </c>
      <c r="C53" s="13"/>
      <c r="D53" s="21" t="str">
        <f aca="false">"先週比 "&amp;TEXT(入力!D20,"+#,##0;-#,##0;0")</f>
        <v>先週比 +1,750</v>
      </c>
      <c r="E53" s="21"/>
      <c r="F53" s="21" t="str">
        <f aca="false">"先週比 "&amp;TEXT(入力!D21,"+#,##0;-#,##0;0")</f>
        <v>先週比 +1,128</v>
      </c>
      <c r="G53" s="21"/>
      <c r="H53" s="22" t="str">
        <f aca="false">"先週比 "&amp;TEXT(入力!D22,"+#,##0;-#,##0;0")</f>
        <v>先週比 0</v>
      </c>
      <c r="I53" s="22"/>
      <c r="J53" s="13" t="str">
        <f aca="false">"先週比 "&amp;TEXT(入力!D23,"+#,##0;-#,##0;0")</f>
        <v>先週比 +4,158</v>
      </c>
      <c r="K53" s="13"/>
      <c r="L53" s="13"/>
      <c r="M53" s="13"/>
    </row>
    <row r="55" customFormat="false" ht="16.5" hidden="false" customHeight="true" outlineLevel="0" collapsed="false">
      <c r="B55" s="8" t="s">
        <v>36</v>
      </c>
      <c r="C55" s="8"/>
      <c r="D55" s="7" t="s">
        <v>32</v>
      </c>
      <c r="E55" s="7"/>
      <c r="F55" s="7" t="s">
        <v>33</v>
      </c>
      <c r="G55" s="7"/>
      <c r="H55" s="18" t="s">
        <v>34</v>
      </c>
      <c r="I55" s="18"/>
      <c r="J55" s="8" t="s">
        <v>35</v>
      </c>
      <c r="K55" s="8"/>
      <c r="L55" s="8"/>
      <c r="M55" s="8"/>
    </row>
    <row r="56" customFormat="false" ht="33.75" hidden="false" customHeight="true" outlineLevel="0" collapsed="false">
      <c r="B56" s="28" t="n">
        <f aca="false">入力!C35</f>
        <v>18900</v>
      </c>
      <c r="C56" s="28"/>
      <c r="D56" s="29" t="n">
        <f aca="false">入力!C36</f>
        <v>14200</v>
      </c>
      <c r="E56" s="29"/>
      <c r="F56" s="29" t="n">
        <f aca="false">入力!C37</f>
        <v>5834</v>
      </c>
      <c r="G56" s="29"/>
      <c r="H56" s="30" t="n">
        <f aca="false">入力!C38</f>
        <v>2300</v>
      </c>
      <c r="I56" s="30"/>
      <c r="J56" s="28" t="n">
        <f aca="false">入力!C39</f>
        <v>41234</v>
      </c>
      <c r="K56" s="28"/>
      <c r="L56" s="28"/>
      <c r="M56" s="28"/>
    </row>
    <row r="57" customFormat="false" ht="24" hidden="false" customHeight="true" outlineLevel="0" collapsed="false">
      <c r="B57" s="13" t="str">
        <f aca="false">"先週比 "&amp;TEXT(入力!D35,"+#,##0;-#,##0;0")</f>
        <v>先週比 +6,500</v>
      </c>
      <c r="C57" s="13"/>
      <c r="D57" s="21" t="str">
        <f aca="false">"先週比 "&amp;TEXT(入力!D36,"+#,##0;-#,##0;0")</f>
        <v>先週比 +4,400</v>
      </c>
      <c r="E57" s="21"/>
      <c r="F57" s="21" t="str">
        <f aca="false">"先週比 "&amp;TEXT(入力!D37,"+#,##0;-#,##0;0")</f>
        <v>先週比 +3,834</v>
      </c>
      <c r="G57" s="21"/>
      <c r="H57" s="22" t="str">
        <f aca="false">"先週比 "&amp;TEXT(入力!D38,"+#,##0;-#,##0;0")</f>
        <v>先週比 +800</v>
      </c>
      <c r="I57" s="22"/>
      <c r="J57" s="13" t="str">
        <f aca="false">"先週比 "&amp;TEXT(入力!D39,"+#,##0;-#,##0;0")</f>
        <v>先週比 +15,534</v>
      </c>
      <c r="K57" s="13"/>
      <c r="L57" s="13"/>
      <c r="M57" s="13"/>
    </row>
    <row r="89" customFormat="false" ht="16.5" hidden="false" customHeight="true" outlineLevel="0" collapsed="false">
      <c r="B89" s="18" t="s">
        <v>37</v>
      </c>
      <c r="C89" s="18"/>
      <c r="D89" s="18"/>
      <c r="E89" s="18" t="s">
        <v>38</v>
      </c>
      <c r="F89" s="18"/>
      <c r="G89" s="18"/>
      <c r="H89" s="8" t="s">
        <v>39</v>
      </c>
      <c r="I89" s="8"/>
      <c r="J89" s="8"/>
      <c r="K89" s="7" t="s">
        <v>40</v>
      </c>
      <c r="L89" s="7"/>
      <c r="M89" s="7"/>
    </row>
    <row r="90" customFormat="false" ht="33.75" hidden="false" customHeight="true" outlineLevel="0" collapsed="false">
      <c r="B90" s="31" t="n">
        <f aca="false">入力!C50</f>
        <v>34</v>
      </c>
      <c r="C90" s="31"/>
      <c r="D90" s="31"/>
      <c r="E90" s="32" t="n">
        <f aca="false">入力!C51</f>
        <v>11200</v>
      </c>
      <c r="F90" s="32"/>
      <c r="G90" s="32"/>
      <c r="H90" s="15" t="n">
        <f aca="false">入力!C27</f>
        <v>8</v>
      </c>
      <c r="I90" s="15"/>
      <c r="J90" s="15"/>
      <c r="K90" s="16" t="n">
        <f aca="false">入力!C31</f>
        <v>18</v>
      </c>
      <c r="L90" s="16"/>
      <c r="M90" s="16"/>
    </row>
    <row r="91" customFormat="false" ht="24" hidden="false" customHeight="true" outlineLevel="0" collapsed="false">
      <c r="B91" s="22" t="str">
        <f aca="false">"先週比 "&amp;TEXT(入力!D50,"+#,##0;-#,##0;0")&amp;"件"</f>
        <v>先週比 +5件</v>
      </c>
      <c r="C91" s="22"/>
      <c r="D91" s="22"/>
      <c r="E91" s="22" t="str">
        <f aca="false">"先週比 "&amp;TEXT(入力!D51,"+#,##0;-#,##0;0")</f>
        <v>先週比 +2,300</v>
      </c>
      <c r="F91" s="22"/>
      <c r="G91" s="22"/>
      <c r="H91" s="13" t="str">
        <f aca="false">"先週比 "&amp;TEXT(入力!D27,"+#,##0;-#,##0;0")&amp;"件"</f>
        <v>先週比 +3件</v>
      </c>
      <c r="I91" s="13"/>
      <c r="J91" s="13"/>
      <c r="K91" s="21" t="str">
        <f aca="false">"先週比 "&amp;TEXT(入力!D31,"+#,##0;-#,##0;0")&amp;"件"</f>
        <v>先週比 +7件</v>
      </c>
      <c r="L91" s="21"/>
      <c r="M91" s="21"/>
    </row>
    <row r="93" customFormat="false" ht="21.75" hidden="false" customHeight="true" outlineLevel="0" collapsed="false">
      <c r="B93" s="33" t="s">
        <v>41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5" customFormat="false" ht="27" hidden="false" customHeight="true" outlineLevel="0" collapsed="false">
      <c r="B95" s="3" t="s">
        <v>42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5" hidden="false" customHeight="true" outlineLevel="0" collapsed="false">
      <c r="B96" s="2" t="s">
        <v>43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customFormat="false" ht="18" hidden="false" customHeight="true" outlineLevel="0" collapsed="false">
      <c r="B97" s="34" t="s">
        <v>44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customFormat="false" ht="18" hidden="false" customHeight="true" outlineLevel="0" collapsed="false"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customFormat="false" ht="18" hidden="false" customHeight="true" outlineLevel="0" collapsed="false"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customFormat="false" ht="18" hidden="false" customHeight="true" outlineLevel="0" collapsed="false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2" customFormat="false" ht="27" hidden="false" customHeight="true" outlineLevel="0" collapsed="false">
      <c r="B102" s="3" t="s">
        <v>45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customFormat="false" ht="15" hidden="false" customHeight="true" outlineLevel="0" collapsed="false">
      <c r="B103" s="2" t="s">
        <v>46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customFormat="false" ht="18" hidden="false" customHeight="true" outlineLevel="0" collapsed="false">
      <c r="B104" s="34" t="s">
        <v>47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customFormat="false" ht="18" hidden="false" customHeight="true" outlineLevel="0" collapsed="false"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  <row r="106" customFormat="false" ht="18" hidden="false" customHeight="true" outlineLevel="0" collapsed="false"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</row>
    <row r="107" customFormat="false" ht="18" hidden="false" customHeight="true" outlineLevel="0" collapsed="false"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</row>
    <row r="109" customFormat="false" ht="27" hidden="false" customHeight="true" outlineLevel="0" collapsed="false">
      <c r="B109" s="3" t="s">
        <v>48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5" hidden="false" customHeight="true" outlineLevel="0" collapsed="false">
      <c r="B110" s="2" t="s">
        <v>49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customFormat="false" ht="18" hidden="false" customHeight="true" outlineLevel="0" collapsed="false">
      <c r="B111" s="34" t="s">
        <v>50</v>
      </c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</row>
    <row r="112" customFormat="false" ht="18" hidden="false" customHeight="true" outlineLevel="0" collapsed="false"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</row>
    <row r="113" customFormat="false" ht="18" hidden="false" customHeight="true" outlineLevel="0" collapsed="false"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</row>
    <row r="114" customFormat="false" ht="18" hidden="false" customHeight="true" outlineLevel="0" collapsed="false"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</row>
    <row r="116" customFormat="false" ht="21.75" hidden="false" customHeight="true" outlineLevel="0" collapsed="false">
      <c r="B116" s="35" t="s">
        <v>51</v>
      </c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</sheetData>
  <mergeCells count="123">
    <mergeCell ref="B2:M2"/>
    <mergeCell ref="B3:M3"/>
    <mergeCell ref="B5:M5"/>
    <mergeCell ref="B6:M6"/>
    <mergeCell ref="B7:M9"/>
    <mergeCell ref="B11:M11"/>
    <mergeCell ref="B12:M12"/>
    <mergeCell ref="B13:D13"/>
    <mergeCell ref="E13:G13"/>
    <mergeCell ref="H13:J13"/>
    <mergeCell ref="K13:M13"/>
    <mergeCell ref="B14:D14"/>
    <mergeCell ref="E14:G14"/>
    <mergeCell ref="H14:J14"/>
    <mergeCell ref="K14:M14"/>
    <mergeCell ref="B15:D15"/>
    <mergeCell ref="E15:G15"/>
    <mergeCell ref="H15:J15"/>
    <mergeCell ref="K15:M15"/>
    <mergeCell ref="B17:D17"/>
    <mergeCell ref="E17:G17"/>
    <mergeCell ref="H17:J17"/>
    <mergeCell ref="K17:M17"/>
    <mergeCell ref="B18:D18"/>
    <mergeCell ref="E18:G18"/>
    <mergeCell ref="H18:J18"/>
    <mergeCell ref="K18:M18"/>
    <mergeCell ref="B19:D19"/>
    <mergeCell ref="E19:G19"/>
    <mergeCell ref="H19:J19"/>
    <mergeCell ref="K19:M19"/>
    <mergeCell ref="B21:D21"/>
    <mergeCell ref="E21:G21"/>
    <mergeCell ref="H21:J21"/>
    <mergeCell ref="K21:M21"/>
    <mergeCell ref="B22:D22"/>
    <mergeCell ref="E22:G22"/>
    <mergeCell ref="H22:J22"/>
    <mergeCell ref="K22:M22"/>
    <mergeCell ref="B23:D23"/>
    <mergeCell ref="E23:G23"/>
    <mergeCell ref="H23:J23"/>
    <mergeCell ref="K23:M23"/>
    <mergeCell ref="B25:D25"/>
    <mergeCell ref="E25:G25"/>
    <mergeCell ref="H25:J25"/>
    <mergeCell ref="K25:M25"/>
    <mergeCell ref="B26:D26"/>
    <mergeCell ref="E26:G26"/>
    <mergeCell ref="H26:J26"/>
    <mergeCell ref="K26:M26"/>
    <mergeCell ref="B27:D27"/>
    <mergeCell ref="E27:G27"/>
    <mergeCell ref="H27:J27"/>
    <mergeCell ref="K27:M27"/>
    <mergeCell ref="B44:M44"/>
    <mergeCell ref="B45:D45"/>
    <mergeCell ref="E45:G45"/>
    <mergeCell ref="H45:J45"/>
    <mergeCell ref="K45:M45"/>
    <mergeCell ref="B46:D46"/>
    <mergeCell ref="E46:G46"/>
    <mergeCell ref="H46:J46"/>
    <mergeCell ref="K46:M46"/>
    <mergeCell ref="B47:D47"/>
    <mergeCell ref="E47:G47"/>
    <mergeCell ref="H47:J47"/>
    <mergeCell ref="K47:M47"/>
    <mergeCell ref="B49:M49"/>
    <mergeCell ref="B50:M50"/>
    <mergeCell ref="B51:C51"/>
    <mergeCell ref="D51:E51"/>
    <mergeCell ref="F51:G51"/>
    <mergeCell ref="H51:I51"/>
    <mergeCell ref="J51:M51"/>
    <mergeCell ref="B52:C52"/>
    <mergeCell ref="D52:E52"/>
    <mergeCell ref="F52:G52"/>
    <mergeCell ref="H52:I52"/>
    <mergeCell ref="J52:M52"/>
    <mergeCell ref="B53:C53"/>
    <mergeCell ref="D53:E53"/>
    <mergeCell ref="F53:G53"/>
    <mergeCell ref="H53:I53"/>
    <mergeCell ref="J53:M53"/>
    <mergeCell ref="B55:C55"/>
    <mergeCell ref="D55:E55"/>
    <mergeCell ref="F55:G55"/>
    <mergeCell ref="H55:I55"/>
    <mergeCell ref="J55:M55"/>
    <mergeCell ref="B56:C56"/>
    <mergeCell ref="D56:E56"/>
    <mergeCell ref="F56:G56"/>
    <mergeCell ref="H56:I56"/>
    <mergeCell ref="J56:M56"/>
    <mergeCell ref="B57:C57"/>
    <mergeCell ref="D57:E57"/>
    <mergeCell ref="F57:G57"/>
    <mergeCell ref="H57:I57"/>
    <mergeCell ref="J57:M57"/>
    <mergeCell ref="B89:D89"/>
    <mergeCell ref="E89:G89"/>
    <mergeCell ref="H89:J89"/>
    <mergeCell ref="K89:M89"/>
    <mergeCell ref="B90:D90"/>
    <mergeCell ref="E90:G90"/>
    <mergeCell ref="H90:J90"/>
    <mergeCell ref="K90:M90"/>
    <mergeCell ref="B91:D91"/>
    <mergeCell ref="E91:G91"/>
    <mergeCell ref="H91:J91"/>
    <mergeCell ref="K91:M91"/>
    <mergeCell ref="B93:M93"/>
    <mergeCell ref="B95:M95"/>
    <mergeCell ref="B96:M96"/>
    <mergeCell ref="B97:M100"/>
    <mergeCell ref="B102:M102"/>
    <mergeCell ref="B103:M103"/>
    <mergeCell ref="B104:M107"/>
    <mergeCell ref="B109:M109"/>
    <mergeCell ref="B110:M110"/>
    <mergeCell ref="B111:M114"/>
    <mergeCell ref="B116:M1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  <col collapsed="false" customWidth="true" hidden="false" outlineLevel="0" max="5" min="5" style="0" width="2"/>
  </cols>
  <sheetData>
    <row r="1" customFormat="false" ht="16.15" hidden="false" customHeight="false" outlineLevel="0" collapsed="false">
      <c r="A1" s="36" t="s">
        <v>52</v>
      </c>
    </row>
    <row r="2" customFormat="false" ht="15" hidden="false" customHeight="false" outlineLevel="0" collapsed="false">
      <c r="A2" s="37" t="s">
        <v>53</v>
      </c>
    </row>
    <row r="4" customFormat="false" ht="15" hidden="false" customHeight="false" outlineLevel="0" collapsed="false">
      <c r="A4" s="38" t="s">
        <v>54</v>
      </c>
    </row>
    <row r="5" customFormat="false" ht="15" hidden="false" customHeight="false" outlineLevel="0" collapsed="false">
      <c r="A5" s="39" t="s">
        <v>55</v>
      </c>
      <c r="B5" s="40" t="s">
        <v>56</v>
      </c>
      <c r="C5" s="41" t="s">
        <v>57</v>
      </c>
    </row>
    <row r="6" customFormat="false" ht="15" hidden="false" customHeight="false" outlineLevel="0" collapsed="false">
      <c r="A6" s="42" t="s">
        <v>58</v>
      </c>
      <c r="B6" s="43" t="n">
        <v>13369</v>
      </c>
      <c r="C6" s="41" t="s">
        <v>59</v>
      </c>
    </row>
    <row r="7" customFormat="false" ht="15" hidden="false" customHeight="false" outlineLevel="0" collapsed="false">
      <c r="A7" s="39" t="s">
        <v>60</v>
      </c>
      <c r="B7" s="44" t="n">
        <v>23</v>
      </c>
      <c r="C7" s="41" t="s">
        <v>61</v>
      </c>
    </row>
    <row r="8" customFormat="false" ht="15" hidden="false" customHeight="false" outlineLevel="0" collapsed="false">
      <c r="A8" s="39" t="s">
        <v>62</v>
      </c>
      <c r="B8" s="43" t="n">
        <v>69000</v>
      </c>
      <c r="C8" s="41" t="s">
        <v>61</v>
      </c>
    </row>
    <row r="9" customFormat="false" ht="15" hidden="false" customHeight="false" outlineLevel="0" collapsed="false">
      <c r="A9" s="39" t="s">
        <v>63</v>
      </c>
      <c r="B9" s="45" t="n">
        <v>21</v>
      </c>
      <c r="C9" s="41" t="s">
        <v>64</v>
      </c>
    </row>
    <row r="10" customFormat="false" ht="15" hidden="false" customHeight="false" outlineLevel="0" collapsed="false">
      <c r="A10" s="39" t="s">
        <v>65</v>
      </c>
      <c r="B10" s="45" t="n">
        <v>7</v>
      </c>
      <c r="C10" s="41" t="s">
        <v>66</v>
      </c>
    </row>
    <row r="11" customFormat="false" ht="15" hidden="false" customHeight="false" outlineLevel="0" collapsed="false">
      <c r="A11" s="39" t="s">
        <v>67</v>
      </c>
      <c r="B11" s="46" t="n">
        <f aca="false">IFERROR(B10/B9,0)</f>
        <v>0.333333333333333</v>
      </c>
      <c r="C11" s="41" t="s">
        <v>68</v>
      </c>
    </row>
    <row r="13" customFormat="false" ht="15" hidden="false" customHeight="false" outlineLevel="0" collapsed="false">
      <c r="A13" s="38" t="s">
        <v>69</v>
      </c>
    </row>
    <row r="14" customFormat="false" ht="15" hidden="false" customHeight="false" outlineLevel="0" collapsed="false">
      <c r="A14" s="39" t="s">
        <v>70</v>
      </c>
      <c r="B14" s="47" t="s">
        <v>71</v>
      </c>
      <c r="C14" s="41" t="s">
        <v>72</v>
      </c>
    </row>
    <row r="15" customFormat="false" ht="15" hidden="false" customHeight="false" outlineLevel="0" collapsed="false">
      <c r="A15" s="39" t="s">
        <v>73</v>
      </c>
      <c r="B15" s="47" t="s">
        <v>74</v>
      </c>
      <c r="C15" s="41" t="s">
        <v>75</v>
      </c>
    </row>
    <row r="17" customFormat="false" ht="15" hidden="false" customHeight="false" outlineLevel="0" collapsed="false">
      <c r="A17" s="38" t="s">
        <v>76</v>
      </c>
      <c r="C17" s="41" t="s">
        <v>77</v>
      </c>
    </row>
    <row r="18" customFormat="false" ht="15" hidden="false" customHeight="false" outlineLevel="0" collapsed="false">
      <c r="A18" s="48" t="s">
        <v>78</v>
      </c>
      <c r="B18" s="48" t="s">
        <v>79</v>
      </c>
      <c r="C18" s="48" t="s">
        <v>80</v>
      </c>
      <c r="D18" s="48" t="s">
        <v>81</v>
      </c>
    </row>
    <row r="19" customFormat="false" ht="15" hidden="false" customHeight="false" outlineLevel="0" collapsed="false">
      <c r="A19" s="49" t="s">
        <v>82</v>
      </c>
      <c r="B19" s="50" t="n">
        <v>2840</v>
      </c>
      <c r="C19" s="50" t="n">
        <v>4120</v>
      </c>
      <c r="D19" s="51" t="n">
        <f aca="false">IFERROR(C19-B19,0)</f>
        <v>1280</v>
      </c>
    </row>
    <row r="20" customFormat="false" ht="15" hidden="false" customHeight="false" outlineLevel="0" collapsed="false">
      <c r="A20" s="49" t="s">
        <v>83</v>
      </c>
      <c r="B20" s="50" t="n">
        <v>5600</v>
      </c>
      <c r="C20" s="50" t="n">
        <v>7350</v>
      </c>
      <c r="D20" s="51" t="n">
        <f aca="false">IFERROR(C20-B20,0)</f>
        <v>1750</v>
      </c>
    </row>
    <row r="21" customFormat="false" ht="15" hidden="false" customHeight="false" outlineLevel="0" collapsed="false">
      <c r="A21" s="49" t="s">
        <v>84</v>
      </c>
      <c r="B21" s="50" t="n">
        <v>0</v>
      </c>
      <c r="C21" s="50" t="n">
        <v>1128</v>
      </c>
      <c r="D21" s="51" t="n">
        <f aca="false">IFERROR(C21-B21,0)</f>
        <v>1128</v>
      </c>
    </row>
    <row r="22" customFormat="false" ht="15" hidden="false" customHeight="false" outlineLevel="0" collapsed="false">
      <c r="A22" s="49" t="s">
        <v>85</v>
      </c>
      <c r="B22" s="50" t="n">
        <v>0</v>
      </c>
      <c r="C22" s="50" t="n">
        <v>0</v>
      </c>
      <c r="D22" s="51" t="n">
        <f aca="false">IFERROR(C22-B22,0)</f>
        <v>0</v>
      </c>
    </row>
    <row r="23" customFormat="false" ht="15" hidden="false" customHeight="false" outlineLevel="0" collapsed="false">
      <c r="A23" s="52" t="s">
        <v>35</v>
      </c>
      <c r="B23" s="53" t="n">
        <f aca="false">SUM(B19:B22)</f>
        <v>8440</v>
      </c>
      <c r="C23" s="53" t="n">
        <f aca="false">SUM(C19:C22)</f>
        <v>12598</v>
      </c>
      <c r="D23" s="54" t="n">
        <f aca="false">SUM(D19:D22)</f>
        <v>4158</v>
      </c>
    </row>
    <row r="25" customFormat="false" ht="15" hidden="false" customHeight="false" outlineLevel="0" collapsed="false">
      <c r="A25" s="38" t="s">
        <v>86</v>
      </c>
      <c r="C25" s="41" t="s">
        <v>87</v>
      </c>
    </row>
    <row r="26" customFormat="false" ht="15" hidden="false" customHeight="false" outlineLevel="0" collapsed="false">
      <c r="A26" s="48" t="s">
        <v>78</v>
      </c>
      <c r="B26" s="48" t="s">
        <v>79</v>
      </c>
      <c r="C26" s="48" t="s">
        <v>80</v>
      </c>
      <c r="D26" s="48" t="s">
        <v>81</v>
      </c>
    </row>
    <row r="27" customFormat="false" ht="15" hidden="false" customHeight="false" outlineLevel="0" collapsed="false">
      <c r="A27" s="49" t="s">
        <v>82</v>
      </c>
      <c r="B27" s="45" t="n">
        <v>5</v>
      </c>
      <c r="C27" s="45" t="n">
        <v>8</v>
      </c>
      <c r="D27" s="51" t="n">
        <f aca="false">IFERROR(C27-B27,0)</f>
        <v>3</v>
      </c>
    </row>
    <row r="28" customFormat="false" ht="15" hidden="false" customHeight="false" outlineLevel="0" collapsed="false">
      <c r="A28" s="49" t="s">
        <v>83</v>
      </c>
      <c r="B28" s="45" t="n">
        <v>3</v>
      </c>
      <c r="C28" s="45" t="n">
        <v>5</v>
      </c>
      <c r="D28" s="51" t="n">
        <f aca="false">IFERROR(C28-B28,0)</f>
        <v>2</v>
      </c>
    </row>
    <row r="29" customFormat="false" ht="15" hidden="false" customHeight="false" outlineLevel="0" collapsed="false">
      <c r="A29" s="49" t="s">
        <v>84</v>
      </c>
      <c r="B29" s="45" t="n">
        <v>1</v>
      </c>
      <c r="C29" s="45" t="n">
        <v>2</v>
      </c>
      <c r="D29" s="51" t="n">
        <f aca="false">IFERROR(C29-B29,0)</f>
        <v>1</v>
      </c>
    </row>
    <row r="30" customFormat="false" ht="15" hidden="false" customHeight="false" outlineLevel="0" collapsed="false">
      <c r="A30" s="49" t="s">
        <v>85</v>
      </c>
      <c r="B30" s="45" t="n">
        <v>2</v>
      </c>
      <c r="C30" s="45" t="n">
        <v>3</v>
      </c>
      <c r="D30" s="51" t="n">
        <f aca="false">IFERROR(C30-B30,0)</f>
        <v>1</v>
      </c>
    </row>
    <row r="31" customFormat="false" ht="15" hidden="false" customHeight="false" outlineLevel="0" collapsed="false">
      <c r="A31" s="52" t="s">
        <v>35</v>
      </c>
      <c r="B31" s="55" t="n">
        <f aca="false">SUM(B27:B30)</f>
        <v>11</v>
      </c>
      <c r="C31" s="55" t="n">
        <f aca="false">SUM(C27:C30)</f>
        <v>18</v>
      </c>
      <c r="D31" s="54" t="n">
        <f aca="false">SUM(D27:D30)</f>
        <v>7</v>
      </c>
    </row>
    <row r="33" customFormat="false" ht="15" hidden="false" customHeight="false" outlineLevel="0" collapsed="false">
      <c r="A33" s="38" t="s">
        <v>88</v>
      </c>
      <c r="C33" s="41" t="s">
        <v>89</v>
      </c>
    </row>
    <row r="34" customFormat="false" ht="15" hidden="false" customHeight="false" outlineLevel="0" collapsed="false">
      <c r="A34" s="48" t="s">
        <v>78</v>
      </c>
      <c r="B34" s="48" t="s">
        <v>79</v>
      </c>
      <c r="C34" s="48" t="s">
        <v>80</v>
      </c>
      <c r="D34" s="48" t="s">
        <v>81</v>
      </c>
    </row>
    <row r="35" customFormat="false" ht="15" hidden="false" customHeight="false" outlineLevel="0" collapsed="false">
      <c r="A35" s="49" t="s">
        <v>82</v>
      </c>
      <c r="B35" s="50" t="n">
        <v>12400</v>
      </c>
      <c r="C35" s="50" t="n">
        <v>18900</v>
      </c>
      <c r="D35" s="51" t="n">
        <f aca="false">IFERROR(C35-B35,0)</f>
        <v>6500</v>
      </c>
    </row>
    <row r="36" customFormat="false" ht="15" hidden="false" customHeight="false" outlineLevel="0" collapsed="false">
      <c r="A36" s="49" t="s">
        <v>83</v>
      </c>
      <c r="B36" s="50" t="n">
        <v>9800</v>
      </c>
      <c r="C36" s="50" t="n">
        <v>14200</v>
      </c>
      <c r="D36" s="51" t="n">
        <f aca="false">IFERROR(C36-B36,0)</f>
        <v>4400</v>
      </c>
    </row>
    <row r="37" customFormat="false" ht="15" hidden="false" customHeight="false" outlineLevel="0" collapsed="false">
      <c r="A37" s="49" t="s">
        <v>84</v>
      </c>
      <c r="B37" s="50" t="n">
        <v>2000</v>
      </c>
      <c r="C37" s="50" t="n">
        <v>5834</v>
      </c>
      <c r="D37" s="51" t="n">
        <f aca="false">IFERROR(C37-B37,0)</f>
        <v>3834</v>
      </c>
    </row>
    <row r="38" customFormat="false" ht="15" hidden="false" customHeight="false" outlineLevel="0" collapsed="false">
      <c r="A38" s="49" t="s">
        <v>85</v>
      </c>
      <c r="B38" s="50" t="n">
        <v>1500</v>
      </c>
      <c r="C38" s="50" t="n">
        <v>2300</v>
      </c>
      <c r="D38" s="51" t="n">
        <f aca="false">IFERROR(C38-B38,0)</f>
        <v>800</v>
      </c>
    </row>
    <row r="39" customFormat="false" ht="15" hidden="false" customHeight="false" outlineLevel="0" collapsed="false">
      <c r="A39" s="52" t="s">
        <v>35</v>
      </c>
      <c r="B39" s="53" t="n">
        <f aca="false">SUM(B35:B38)</f>
        <v>25700</v>
      </c>
      <c r="C39" s="53" t="n">
        <f aca="false">SUM(C35:C38)</f>
        <v>41234</v>
      </c>
      <c r="D39" s="54" t="n">
        <f aca="false">SUM(D35:D38)</f>
        <v>15534</v>
      </c>
    </row>
    <row r="41" customFormat="false" ht="15" hidden="false" customHeight="false" outlineLevel="0" collapsed="false">
      <c r="A41" s="38" t="s">
        <v>90</v>
      </c>
    </row>
    <row r="42" customFormat="false" ht="15" hidden="false" customHeight="false" outlineLevel="0" collapsed="false">
      <c r="A42" s="48" t="s">
        <v>78</v>
      </c>
      <c r="B42" s="48" t="s">
        <v>79</v>
      </c>
      <c r="C42" s="48" t="s">
        <v>80</v>
      </c>
      <c r="D42" s="48" t="s">
        <v>81</v>
      </c>
    </row>
    <row r="43" customFormat="false" ht="15" hidden="false" customHeight="false" outlineLevel="0" collapsed="false">
      <c r="A43" s="56" t="s">
        <v>91</v>
      </c>
      <c r="B43" s="50" t="n">
        <v>95200</v>
      </c>
      <c r="C43" s="50" t="n">
        <v>99318</v>
      </c>
      <c r="D43" s="51" t="n">
        <f aca="false">IFERROR(C43-B43,0)</f>
        <v>4118</v>
      </c>
    </row>
    <row r="44" customFormat="false" ht="15" hidden="false" customHeight="false" outlineLevel="0" collapsed="false">
      <c r="A44" s="56" t="s">
        <v>92</v>
      </c>
      <c r="B44" s="50" t="n">
        <v>185400</v>
      </c>
      <c r="C44" s="50" t="n">
        <v>183800</v>
      </c>
      <c r="D44" s="51" t="n">
        <f aca="false">IFERROR(C44-B44,0)</f>
        <v>-1600</v>
      </c>
    </row>
    <row r="45" customFormat="false" ht="15" hidden="false" customHeight="false" outlineLevel="0" collapsed="false">
      <c r="A45" s="49" t="s">
        <v>27</v>
      </c>
      <c r="B45" s="50" t="n">
        <v>280900</v>
      </c>
      <c r="C45" s="50" t="n">
        <v>283418</v>
      </c>
      <c r="D45" s="51" t="n">
        <f aca="false">IFERROR(C45-B45,0)</f>
        <v>2518</v>
      </c>
    </row>
    <row r="46" customFormat="false" ht="15" hidden="false" customHeight="false" outlineLevel="0" collapsed="false">
      <c r="A46" s="49" t="s">
        <v>93</v>
      </c>
      <c r="B46" s="45" t="n">
        <v>230</v>
      </c>
      <c r="C46" s="45" t="n">
        <v>235</v>
      </c>
      <c r="D46" s="51" t="n">
        <f aca="false">IFERROR(C46-B46,0)</f>
        <v>5</v>
      </c>
    </row>
    <row r="48" customFormat="false" ht="15" hidden="false" customHeight="false" outlineLevel="0" collapsed="false">
      <c r="A48" s="38" t="s">
        <v>94</v>
      </c>
    </row>
    <row r="49" customFormat="false" ht="15" hidden="false" customHeight="false" outlineLevel="0" collapsed="false">
      <c r="A49" s="48" t="s">
        <v>78</v>
      </c>
      <c r="B49" s="48" t="s">
        <v>79</v>
      </c>
      <c r="C49" s="48" t="s">
        <v>80</v>
      </c>
      <c r="D49" s="48" t="s">
        <v>81</v>
      </c>
    </row>
    <row r="50" customFormat="false" ht="15" hidden="false" customHeight="false" outlineLevel="0" collapsed="false">
      <c r="A50" s="49" t="s">
        <v>95</v>
      </c>
      <c r="B50" s="45" t="n">
        <v>29</v>
      </c>
      <c r="C50" s="45" t="n">
        <v>34</v>
      </c>
      <c r="D50" s="51" t="n">
        <f aca="false">IFERROR(C50-B50,"")</f>
        <v>5</v>
      </c>
    </row>
    <row r="51" customFormat="false" ht="15" hidden="false" customHeight="false" outlineLevel="0" collapsed="false">
      <c r="A51" s="49" t="s">
        <v>96</v>
      </c>
      <c r="B51" s="50" t="n">
        <v>8900</v>
      </c>
      <c r="C51" s="50" t="n">
        <v>11200</v>
      </c>
      <c r="D51" s="51" t="n">
        <f aca="false">IFERROR(C51-B51,"")</f>
        <v>2300</v>
      </c>
    </row>
    <row r="53" customFormat="false" ht="15" hidden="false" customHeight="false" outlineLevel="0" collapsed="false">
      <c r="A53" s="57" t="s">
        <v>97</v>
      </c>
    </row>
    <row r="55" customFormat="false" ht="15" hidden="false" customHeight="false" outlineLevel="0" collapsed="false">
      <c r="A55" s="58" t="s">
        <v>98</v>
      </c>
    </row>
    <row r="56" customFormat="false" ht="15" hidden="false" customHeight="false" outlineLevel="0" collapsed="false">
      <c r="A56" s="59" t="s">
        <v>99</v>
      </c>
      <c r="B56" s="41" t="s">
        <v>100</v>
      </c>
    </row>
    <row r="57" customFormat="false" ht="15" hidden="false" customHeight="false" outlineLevel="0" collapsed="false">
      <c r="A57" s="60" t="s">
        <v>101</v>
      </c>
      <c r="B57" s="41" t="s">
        <v>102</v>
      </c>
    </row>
    <row r="58" customFormat="false" ht="15" hidden="false" customHeight="false" outlineLevel="0" collapsed="false">
      <c r="A58" s="61" t="s">
        <v>103</v>
      </c>
      <c r="B58" s="41" t="s">
        <v>104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36" t="s">
        <v>105</v>
      </c>
    </row>
    <row r="2" customFormat="false" ht="15" hidden="false" customHeight="false" outlineLevel="0" collapsed="false">
      <c r="A2" s="41" t="s">
        <v>106</v>
      </c>
    </row>
    <row r="4" customFormat="false" ht="15" hidden="false" customHeight="false" outlineLevel="0" collapsed="false">
      <c r="A4" s="62" t="s">
        <v>107</v>
      </c>
      <c r="B4" s="62" t="s">
        <v>8</v>
      </c>
      <c r="C4" s="62" t="s">
        <v>108</v>
      </c>
    </row>
    <row r="5" customFormat="false" ht="15" hidden="false" customHeight="false" outlineLevel="0" collapsed="false">
      <c r="A5" s="63" t="s">
        <v>109</v>
      </c>
      <c r="B5" s="64" t="n">
        <f aca="false">IFERROR(入力!C19/入力!B6,0)</f>
        <v>0.308175630189244</v>
      </c>
      <c r="C5" s="64" t="n">
        <f aca="false">入力!B11</f>
        <v>0.333333333333333</v>
      </c>
    </row>
    <row r="6" customFormat="false" ht="15" hidden="false" customHeight="false" outlineLevel="0" collapsed="false">
      <c r="A6" s="65" t="s">
        <v>14</v>
      </c>
      <c r="B6" s="64" t="n">
        <f aca="false">IFERROR(入力!C27/入力!B7,0)</f>
        <v>0.347826086956522</v>
      </c>
      <c r="C6" s="64" t="n">
        <f aca="false">入力!B11</f>
        <v>0.333333333333333</v>
      </c>
    </row>
    <row r="7" customFormat="false" ht="15" hidden="false" customHeight="false" outlineLevel="0" collapsed="false">
      <c r="A7" s="65" t="s">
        <v>110</v>
      </c>
      <c r="B7" s="64" t="n">
        <f aca="false">IFERROR(入力!C35/入力!B8,0)</f>
        <v>0.273913043478261</v>
      </c>
      <c r="C7" s="64" t="n">
        <f aca="false">入力!B11</f>
        <v>0.333333333333333</v>
      </c>
    </row>
    <row r="9" customFormat="false" ht="15" hidden="false" customHeight="false" outlineLevel="0" collapsed="false">
      <c r="A9" s="66" t="s">
        <v>111</v>
      </c>
    </row>
    <row r="10" customFormat="false" ht="15" hidden="false" customHeight="false" outlineLevel="0" collapsed="false">
      <c r="A10" s="62" t="s">
        <v>78</v>
      </c>
      <c r="B10" s="62" t="s">
        <v>82</v>
      </c>
      <c r="C10" s="62" t="s">
        <v>83</v>
      </c>
      <c r="D10" s="62" t="s">
        <v>112</v>
      </c>
      <c r="E10" s="62" t="s">
        <v>85</v>
      </c>
    </row>
    <row r="11" customFormat="false" ht="15" hidden="false" customHeight="false" outlineLevel="0" collapsed="false">
      <c r="A11" s="65" t="s">
        <v>79</v>
      </c>
      <c r="B11" s="67" t="n">
        <f aca="false">入力!B19</f>
        <v>2840</v>
      </c>
      <c r="C11" s="67" t="n">
        <f aca="false">入力!B20</f>
        <v>5600</v>
      </c>
      <c r="D11" s="67" t="n">
        <f aca="false">入力!B21</f>
        <v>0</v>
      </c>
      <c r="E11" s="67" t="n">
        <f aca="false">入力!B22</f>
        <v>0</v>
      </c>
    </row>
    <row r="12" customFormat="false" ht="15" hidden="false" customHeight="false" outlineLevel="0" collapsed="false">
      <c r="A12" s="65" t="s">
        <v>80</v>
      </c>
      <c r="B12" s="67" t="n">
        <f aca="false">入力!C19</f>
        <v>4120</v>
      </c>
      <c r="C12" s="67" t="n">
        <f aca="false">入力!C20</f>
        <v>7350</v>
      </c>
      <c r="D12" s="67" t="n">
        <f aca="false">入力!C21</f>
        <v>1128</v>
      </c>
      <c r="E12" s="67" t="n">
        <f aca="false">入力!C22</f>
        <v>0</v>
      </c>
    </row>
    <row r="14" customFormat="false" ht="15" hidden="false" customHeight="false" outlineLevel="0" collapsed="false">
      <c r="A14" s="68" t="s">
        <v>113</v>
      </c>
    </row>
    <row r="15" customFormat="false" ht="15" hidden="false" customHeight="false" outlineLevel="0" collapsed="false">
      <c r="A15" s="62" t="s">
        <v>78</v>
      </c>
      <c r="B15" s="62" t="s">
        <v>82</v>
      </c>
      <c r="C15" s="62" t="s">
        <v>83</v>
      </c>
      <c r="D15" s="62" t="s">
        <v>112</v>
      </c>
      <c r="E15" s="62" t="s">
        <v>85</v>
      </c>
    </row>
    <row r="16" customFormat="false" ht="15" hidden="false" customHeight="false" outlineLevel="0" collapsed="false">
      <c r="A16" s="65" t="s">
        <v>79</v>
      </c>
      <c r="B16" s="67" t="n">
        <f aca="false">入力!B35</f>
        <v>12400</v>
      </c>
      <c r="C16" s="67" t="n">
        <f aca="false">入力!B36</f>
        <v>9800</v>
      </c>
      <c r="D16" s="67" t="n">
        <f aca="false">入力!B37</f>
        <v>2000</v>
      </c>
      <c r="E16" s="67" t="n">
        <f aca="false">入力!B38</f>
        <v>1500</v>
      </c>
    </row>
    <row r="17" customFormat="false" ht="15" hidden="false" customHeight="false" outlineLevel="0" collapsed="false">
      <c r="A17" s="65" t="s">
        <v>80</v>
      </c>
      <c r="B17" s="67" t="n">
        <f aca="false">入力!C35</f>
        <v>18900</v>
      </c>
      <c r="C17" s="67" t="n">
        <f aca="false">入力!C36</f>
        <v>14200</v>
      </c>
      <c r="D17" s="67" t="n">
        <f aca="false">入力!C37</f>
        <v>5834</v>
      </c>
      <c r="E17" s="67" t="n">
        <f aca="false">入力!C38</f>
        <v>2300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36" t="s">
        <v>114</v>
      </c>
    </row>
    <row r="3" customFormat="false" ht="15" hidden="false" customHeight="false" outlineLevel="0" collapsed="false">
      <c r="A3" s="68" t="s">
        <v>115</v>
      </c>
      <c r="B3" s="60"/>
    </row>
    <row r="4" customFormat="false" ht="15" hidden="false" customHeight="false" outlineLevel="0" collapsed="false">
      <c r="A4" s="69" t="s">
        <v>116</v>
      </c>
      <c r="B4" s="60" t="s">
        <v>117</v>
      </c>
    </row>
    <row r="5" customFormat="false" ht="15" hidden="false" customHeight="false" outlineLevel="0" collapsed="false">
      <c r="A5" s="69" t="s">
        <v>118</v>
      </c>
      <c r="B5" s="60" t="s">
        <v>117</v>
      </c>
    </row>
    <row r="6" customFormat="false" ht="15" hidden="false" customHeight="false" outlineLevel="0" collapsed="false">
      <c r="A6" s="69" t="s">
        <v>119</v>
      </c>
      <c r="B6" s="60" t="s">
        <v>120</v>
      </c>
    </row>
    <row r="7" customFormat="false" ht="15" hidden="false" customHeight="false" outlineLevel="0" collapsed="false">
      <c r="A7" s="70"/>
      <c r="B7" s="60"/>
    </row>
    <row r="8" customFormat="false" ht="15" hidden="false" customHeight="false" outlineLevel="0" collapsed="false">
      <c r="A8" s="68" t="s">
        <v>121</v>
      </c>
      <c r="B8" s="60"/>
    </row>
    <row r="9" customFormat="false" ht="15" hidden="false" customHeight="false" outlineLevel="0" collapsed="false">
      <c r="A9" s="69" t="s">
        <v>82</v>
      </c>
      <c r="B9" s="60" t="s">
        <v>122</v>
      </c>
    </row>
    <row r="10" customFormat="false" ht="15" hidden="false" customHeight="false" outlineLevel="0" collapsed="false">
      <c r="A10" s="69" t="s">
        <v>83</v>
      </c>
      <c r="B10" s="60" t="s">
        <v>123</v>
      </c>
    </row>
    <row r="11" customFormat="false" ht="14.15" hidden="false" customHeight="false" outlineLevel="0" collapsed="false">
      <c r="A11" s="69" t="s">
        <v>124</v>
      </c>
      <c r="B11" s="60" t="s">
        <v>125</v>
      </c>
    </row>
    <row r="12" customFormat="false" ht="15" hidden="false" customHeight="false" outlineLevel="0" collapsed="false">
      <c r="A12" s="69" t="s">
        <v>85</v>
      </c>
      <c r="B12" s="60" t="s">
        <v>126</v>
      </c>
    </row>
    <row r="13" customFormat="false" ht="15" hidden="false" customHeight="false" outlineLevel="0" collapsed="false">
      <c r="A13" s="70"/>
      <c r="B13" s="60"/>
    </row>
    <row r="14" customFormat="false" ht="15" hidden="false" customHeight="false" outlineLevel="0" collapsed="false">
      <c r="A14" s="68" t="s">
        <v>127</v>
      </c>
      <c r="B14" s="60"/>
    </row>
    <row r="15" customFormat="false" ht="14.15" hidden="false" customHeight="false" outlineLevel="0" collapsed="false">
      <c r="A15" s="71" t="s">
        <v>128</v>
      </c>
      <c r="B15" s="60" t="s">
        <v>129</v>
      </c>
    </row>
    <row r="16" customFormat="false" ht="15" hidden="false" customHeight="false" outlineLevel="0" collapsed="false">
      <c r="A16" s="69" t="s">
        <v>14</v>
      </c>
      <c r="B16" s="60" t="s">
        <v>130</v>
      </c>
    </row>
    <row r="17" customFormat="false" ht="15" hidden="false" customHeight="false" outlineLevel="0" collapsed="false">
      <c r="A17" s="69" t="s">
        <v>110</v>
      </c>
      <c r="B17" s="60" t="s">
        <v>131</v>
      </c>
    </row>
    <row r="18" customFormat="false" ht="15" hidden="false" customHeight="false" outlineLevel="0" collapsed="false">
      <c r="A18" s="69" t="s">
        <v>108</v>
      </c>
      <c r="B18" s="60" t="s">
        <v>132</v>
      </c>
    </row>
    <row r="19" customFormat="false" ht="15" hidden="false" customHeight="false" outlineLevel="0" collapsed="false">
      <c r="A19" s="69" t="s">
        <v>133</v>
      </c>
      <c r="B19" s="60" t="s">
        <v>134</v>
      </c>
    </row>
    <row r="20" customFormat="false" ht="15" hidden="false" customHeight="false" outlineLevel="0" collapsed="false">
      <c r="A20" s="70"/>
      <c r="B20" s="60"/>
    </row>
    <row r="21" customFormat="false" ht="15" hidden="false" customHeight="false" outlineLevel="0" collapsed="false">
      <c r="A21" s="68" t="s">
        <v>135</v>
      </c>
      <c r="B21" s="60"/>
    </row>
    <row r="22" customFormat="false" ht="14.15" hidden="false" customHeight="false" outlineLevel="0" collapsed="false">
      <c r="A22" s="71" t="s">
        <v>128</v>
      </c>
      <c r="B22" s="72" t="s">
        <v>136</v>
      </c>
    </row>
    <row r="23" customFormat="false" ht="15" hidden="false" customHeight="false" outlineLevel="0" collapsed="false">
      <c r="A23" s="69" t="s">
        <v>14</v>
      </c>
      <c r="B23" s="72" t="s">
        <v>137</v>
      </c>
    </row>
    <row r="24" customFormat="false" ht="15" hidden="false" customHeight="false" outlineLevel="0" collapsed="false">
      <c r="A24" s="69" t="s">
        <v>110</v>
      </c>
      <c r="B24" s="72" t="s">
        <v>138</v>
      </c>
    </row>
    <row r="25" customFormat="false" ht="15" hidden="false" customHeight="false" outlineLevel="0" collapsed="false">
      <c r="A25" s="70"/>
      <c r="B25" s="72"/>
    </row>
    <row r="26" customFormat="false" ht="15" hidden="false" customHeight="false" outlineLevel="0" collapsed="false">
      <c r="A26" s="68" t="s">
        <v>139</v>
      </c>
      <c r="B26" s="72"/>
    </row>
    <row r="27" customFormat="false" ht="15" hidden="false" customHeight="false" outlineLevel="0" collapsed="false">
      <c r="A27" s="69" t="s">
        <v>140</v>
      </c>
      <c r="B27" s="72" t="s">
        <v>141</v>
      </c>
    </row>
    <row r="28" customFormat="false" ht="15" hidden="false" customHeight="false" outlineLevel="0" collapsed="false">
      <c r="A28" s="69" t="s">
        <v>142</v>
      </c>
      <c r="B28" s="72" t="s">
        <v>143</v>
      </c>
    </row>
    <row r="29" customFormat="false" ht="15" hidden="false" customHeight="false" outlineLevel="0" collapsed="false">
      <c r="A29" s="69"/>
      <c r="B29" s="60" t="s">
        <v>144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2026-10-11T04:00:11Z</dcterms:created>
  <dc:creator>openpyxl</dc:creator>
  <dc:description/>
  <dc:language>en-US</dc:language>
  <cp:lastModifiedBy/>
  <dcterms:modified xsi:type="dcterms:W3CDTF">2026-10-11T04:03:18Z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